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charts/chart4.xml" ContentType="application/vnd.openxmlformats-officedocument.drawingml.chart+xml"/>
  <Override PartName="/xl/drawings/drawing7.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783" activeTab="6"/>
  </bookViews>
  <sheets>
    <sheet name="Products of Skiekz" sheetId="22" r:id="rId1"/>
    <sheet name="Data From Case" sheetId="29" r:id="rId2"/>
    <sheet name="Observed Demand" sheetId="25" r:id="rId3"/>
    <sheet name="Optimal Quantity" sheetId="24" r:id="rId4"/>
    <sheet name="Uncoordinated  SC Profits" sheetId="27" r:id="rId5"/>
    <sheet name="Global Optimization" sheetId="31" r:id="rId6"/>
    <sheet name="Revenue Share" sheetId="30" r:id="rId7"/>
    <sheet name="Global Optimization (2)" sheetId="34" r:id="rId8"/>
    <sheet name="Buy Back Contract" sheetId="23" r:id="rId9"/>
  </sheets>
  <functionGroups builtInGroupCount="17"/>
  <calcPr calcId="144525"/>
</workbook>
</file>

<file path=xl/calcChain.xml><?xml version="1.0" encoding="utf-8"?>
<calcChain xmlns="http://schemas.openxmlformats.org/spreadsheetml/2006/main">
  <c r="P14" i="30" l="1"/>
  <c r="E19" i="30"/>
  <c r="E35" i="30"/>
  <c r="E51" i="30"/>
  <c r="E67" i="30"/>
  <c r="E83" i="30"/>
  <c r="E20" i="30"/>
  <c r="E36" i="30"/>
  <c r="E52" i="30"/>
  <c r="E68" i="30"/>
  <c r="E80" i="30"/>
  <c r="E25" i="30"/>
  <c r="E41" i="30"/>
  <c r="E57" i="30"/>
  <c r="E73" i="30"/>
  <c r="E10" i="30"/>
  <c r="E26" i="30"/>
  <c r="E42" i="30"/>
  <c r="E58" i="30"/>
  <c r="E74" i="30"/>
  <c r="E66" i="30"/>
  <c r="E15" i="30"/>
  <c r="E79" i="30"/>
  <c r="E32" i="30"/>
  <c r="E84" i="30"/>
  <c r="E37" i="30"/>
  <c r="E85" i="30"/>
  <c r="E54" i="30"/>
  <c r="E78" i="30"/>
  <c r="E23" i="30"/>
  <c r="E39" i="30"/>
  <c r="E55" i="30"/>
  <c r="E71" i="30"/>
  <c r="E87" i="30"/>
  <c r="E24" i="30"/>
  <c r="E40" i="30"/>
  <c r="E56" i="30"/>
  <c r="E72" i="30"/>
  <c r="E13" i="30"/>
  <c r="E29" i="30"/>
  <c r="E45" i="30"/>
  <c r="E61" i="30"/>
  <c r="E77" i="30"/>
  <c r="E14" i="30"/>
  <c r="E30" i="30"/>
  <c r="E46" i="30"/>
  <c r="E62" i="30"/>
  <c r="E82" i="30"/>
  <c r="E50" i="30"/>
  <c r="E31" i="30"/>
  <c r="E63" i="30"/>
  <c r="E16" i="30"/>
  <c r="E64" i="30"/>
  <c r="E53" i="30"/>
  <c r="E22" i="30"/>
  <c r="E70" i="30"/>
  <c r="E11" i="30"/>
  <c r="E27" i="30"/>
  <c r="E43" i="30"/>
  <c r="E59" i="30"/>
  <c r="E75" i="30"/>
  <c r="E12" i="30"/>
  <c r="E28" i="30"/>
  <c r="E44" i="30"/>
  <c r="E60" i="30"/>
  <c r="E76" i="30"/>
  <c r="E17" i="30"/>
  <c r="E33" i="30"/>
  <c r="E49" i="30"/>
  <c r="E65" i="30"/>
  <c r="E81" i="30"/>
  <c r="E18" i="30"/>
  <c r="E34" i="30"/>
  <c r="E86" i="30"/>
  <c r="E47" i="30"/>
  <c r="E48" i="30"/>
  <c r="E21" i="30"/>
  <c r="E69" i="30"/>
  <c r="E38" i="30"/>
  <c r="E9" i="30"/>
  <c r="B10" i="30" l="1"/>
  <c r="B11" i="30"/>
  <c r="B12" i="30"/>
  <c r="B13" i="30"/>
  <c r="B14" i="30"/>
  <c r="B15" i="30"/>
  <c r="B16" i="30"/>
  <c r="B17" i="30"/>
  <c r="B18" i="30"/>
  <c r="B19" i="30"/>
  <c r="B20" i="30"/>
  <c r="B21" i="30"/>
  <c r="B22" i="30"/>
  <c r="B23" i="30"/>
  <c r="B24" i="30"/>
  <c r="B25" i="30"/>
  <c r="B26" i="30"/>
  <c r="B27" i="30"/>
  <c r="B28" i="30"/>
  <c r="B29" i="30"/>
  <c r="B30" i="30"/>
  <c r="B31" i="30"/>
  <c r="B32" i="30"/>
  <c r="B33" i="30"/>
  <c r="B34" i="30"/>
  <c r="B35" i="30"/>
  <c r="B36" i="30"/>
  <c r="B37" i="30"/>
  <c r="B38"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77" i="30"/>
  <c r="B78" i="30"/>
  <c r="B79" i="30"/>
  <c r="B80" i="30"/>
  <c r="B81" i="30"/>
  <c r="B82" i="30"/>
  <c r="B83" i="30"/>
  <c r="B84" i="30"/>
  <c r="B85" i="30"/>
  <c r="B86" i="30"/>
  <c r="B87" i="30"/>
  <c r="B9" i="30"/>
  <c r="C27" i="34" l="1"/>
  <c r="B27" i="34"/>
  <c r="C26" i="34"/>
  <c r="B26" i="34"/>
  <c r="C25" i="34"/>
  <c r="B25" i="34"/>
  <c r="C24" i="34"/>
  <c r="B24" i="34"/>
  <c r="C23" i="34"/>
  <c r="B23" i="34"/>
  <c r="C22" i="34"/>
  <c r="B22" i="34"/>
  <c r="C21" i="34"/>
  <c r="B21" i="34"/>
  <c r="C20" i="34"/>
  <c r="B20" i="34"/>
  <c r="C19" i="34"/>
  <c r="B19" i="34"/>
  <c r="C18" i="34"/>
  <c r="B18" i="34"/>
  <c r="C17" i="34"/>
  <c r="B17" i="34"/>
  <c r="N12" i="34"/>
  <c r="M12" i="34"/>
  <c r="L12" i="34"/>
  <c r="N11" i="34"/>
  <c r="M11" i="34"/>
  <c r="L11" i="34"/>
  <c r="N10" i="34"/>
  <c r="M10" i="34"/>
  <c r="L10" i="34"/>
  <c r="N9" i="34"/>
  <c r="M9" i="34"/>
  <c r="L9" i="34"/>
  <c r="N8" i="34"/>
  <c r="M8" i="34"/>
  <c r="L8" i="34"/>
  <c r="N7" i="34"/>
  <c r="M7" i="34"/>
  <c r="L7" i="34"/>
  <c r="N6" i="34"/>
  <c r="M6" i="34"/>
  <c r="L6" i="34"/>
  <c r="N5" i="34"/>
  <c r="M5" i="34"/>
  <c r="L5" i="34"/>
  <c r="N4" i="34"/>
  <c r="M4" i="34"/>
  <c r="L4" i="34"/>
  <c r="J4" i="34"/>
  <c r="N3" i="34"/>
  <c r="M3" i="34"/>
  <c r="L3" i="34"/>
  <c r="B3" i="34"/>
  <c r="H26" i="34" s="1"/>
  <c r="N2" i="34"/>
  <c r="M2" i="34"/>
  <c r="L2" i="34"/>
  <c r="B2" i="34"/>
  <c r="E2" i="34" s="1"/>
  <c r="B1" i="34"/>
  <c r="E1" i="34" s="1"/>
  <c r="J3" i="31"/>
  <c r="C18" i="31"/>
  <c r="C19" i="31"/>
  <c r="C20" i="31"/>
  <c r="C21" i="31"/>
  <c r="C22" i="31"/>
  <c r="C23" i="31"/>
  <c r="C24" i="31"/>
  <c r="C25" i="31"/>
  <c r="C26" i="31"/>
  <c r="C27" i="31"/>
  <c r="C17" i="31"/>
  <c r="B18" i="31"/>
  <c r="B19" i="31"/>
  <c r="B20" i="31"/>
  <c r="B21" i="31"/>
  <c r="B22" i="31"/>
  <c r="B23" i="31"/>
  <c r="B24" i="31"/>
  <c r="B25" i="31"/>
  <c r="B26" i="31"/>
  <c r="B27" i="31"/>
  <c r="B17" i="31"/>
  <c r="E30" i="23"/>
  <c r="E23" i="23"/>
  <c r="E65" i="23"/>
  <c r="E74" i="23"/>
  <c r="E9" i="23"/>
  <c r="E12" i="23"/>
  <c r="E60" i="23"/>
  <c r="E69" i="23"/>
  <c r="E68" i="23"/>
  <c r="E36" i="23"/>
  <c r="E18" i="23"/>
  <c r="E35" i="23"/>
  <c r="E32" i="23"/>
  <c r="E13" i="23"/>
  <c r="E21" i="23"/>
  <c r="E89" i="23"/>
  <c r="E52" i="23"/>
  <c r="E41" i="23"/>
  <c r="E75" i="23"/>
  <c r="E40" i="23"/>
  <c r="E81" i="23"/>
  <c r="E90" i="23"/>
  <c r="E47" i="23"/>
  <c r="E24" i="23"/>
  <c r="E45" i="23"/>
  <c r="E31" i="23"/>
  <c r="E20" i="23"/>
  <c r="E73" i="23"/>
  <c r="E80" i="23"/>
  <c r="E93" i="23"/>
  <c r="E25" i="23"/>
  <c r="E58" i="23"/>
  <c r="E29" i="23"/>
  <c r="E53" i="23"/>
  <c r="E78" i="23"/>
  <c r="E17" i="23"/>
  <c r="E70" i="23"/>
  <c r="E79" i="23"/>
  <c r="E92" i="23"/>
  <c r="E88" i="23"/>
  <c r="E28" i="23"/>
  <c r="E63" i="23"/>
  <c r="E71" i="23"/>
  <c r="E8" i="23"/>
  <c r="E91" i="23"/>
  <c r="E67" i="23"/>
  <c r="E49" i="23"/>
  <c r="E84" i="23"/>
  <c r="E64" i="23"/>
  <c r="E15" i="23"/>
  <c r="E59" i="23"/>
  <c r="E86" i="23"/>
  <c r="E48" i="23"/>
  <c r="E44" i="23"/>
  <c r="E54" i="23"/>
  <c r="E83" i="23"/>
  <c r="E55" i="23"/>
  <c r="E66" i="23"/>
  <c r="E38" i="23"/>
  <c r="E27" i="23"/>
  <c r="E85" i="23"/>
  <c r="E62" i="23"/>
  <c r="E22" i="23"/>
  <c r="E76" i="23"/>
  <c r="E10" i="23"/>
  <c r="E34" i="23"/>
  <c r="E61" i="23"/>
  <c r="E50" i="23"/>
  <c r="E16" i="23"/>
  <c r="E14" i="23"/>
  <c r="E19" i="23"/>
  <c r="E26" i="23"/>
  <c r="E33" i="23"/>
  <c r="E6" i="23"/>
  <c r="E94" i="23"/>
  <c r="E87" i="23"/>
  <c r="E82" i="23"/>
  <c r="E72" i="23"/>
  <c r="E42" i="23"/>
  <c r="E43" i="23"/>
  <c r="E57" i="23"/>
  <c r="E56" i="23"/>
  <c r="E77" i="23"/>
  <c r="E51" i="23"/>
  <c r="E37" i="23"/>
  <c r="E39" i="23"/>
  <c r="E11" i="23"/>
  <c r="E7" i="23"/>
  <c r="E46" i="23"/>
  <c r="E3" i="34" l="1"/>
  <c r="O12" i="34" s="1"/>
  <c r="O7" i="34"/>
  <c r="O6" i="34"/>
  <c r="O10" i="34"/>
  <c r="O2" i="34"/>
  <c r="O5" i="34"/>
  <c r="O9" i="34"/>
  <c r="H18" i="34"/>
  <c r="H22" i="34"/>
  <c r="H19" i="34"/>
  <c r="H23" i="34"/>
  <c r="H27" i="34"/>
  <c r="H24" i="34"/>
  <c r="H20" i="34"/>
  <c r="H17" i="34"/>
  <c r="H21" i="34"/>
  <c r="H25" i="34"/>
  <c r="B4" i="31"/>
  <c r="N33" i="30"/>
  <c r="N34" i="30"/>
  <c r="T38" i="30" s="1"/>
  <c r="M12" i="31"/>
  <c r="M11" i="31"/>
  <c r="M10" i="31"/>
  <c r="M9" i="31"/>
  <c r="M8" i="31"/>
  <c r="M7" i="31"/>
  <c r="M6" i="31"/>
  <c r="M5" i="31"/>
  <c r="M4" i="31"/>
  <c r="M3" i="31"/>
  <c r="B3" i="31"/>
  <c r="M2" i="31"/>
  <c r="B2" i="31"/>
  <c r="B1" i="31"/>
  <c r="T45" i="30" l="1"/>
  <c r="T48" i="30"/>
  <c r="T44" i="30"/>
  <c r="T47" i="30"/>
  <c r="T43" i="30"/>
  <c r="T39" i="30"/>
  <c r="T41" i="30"/>
  <c r="T40" i="30"/>
  <c r="T46" i="30"/>
  <c r="T42" i="30"/>
  <c r="O3" i="34"/>
  <c r="O11" i="34"/>
  <c r="O8" i="34"/>
  <c r="O4" i="34"/>
  <c r="H20" i="31"/>
  <c r="H17" i="31"/>
  <c r="H18" i="31"/>
  <c r="H22" i="31"/>
  <c r="H26" i="31"/>
  <c r="H19" i="31"/>
  <c r="H23" i="31"/>
  <c r="H27" i="31"/>
  <c r="H24" i="31"/>
  <c r="H21" i="31"/>
  <c r="H25" i="31"/>
  <c r="E2" i="31"/>
  <c r="E1" i="31"/>
  <c r="E3" i="31" s="1"/>
  <c r="E3" i="30"/>
  <c r="E2" i="30"/>
  <c r="B2" i="30"/>
  <c r="R12" i="30"/>
  <c r="R11" i="30"/>
  <c r="R10" i="30"/>
  <c r="R9" i="30"/>
  <c r="R8" i="30"/>
  <c r="R7" i="30"/>
  <c r="R6" i="30"/>
  <c r="R5" i="30"/>
  <c r="R4" i="30"/>
  <c r="R3" i="30"/>
  <c r="R2" i="30"/>
  <c r="N13" i="23"/>
  <c r="N37" i="23"/>
  <c r="N38" i="23"/>
  <c r="N39" i="23"/>
  <c r="N40" i="23"/>
  <c r="N41" i="23"/>
  <c r="N42" i="23"/>
  <c r="N43" i="23"/>
  <c r="N44" i="23"/>
  <c r="N45" i="23"/>
  <c r="N46" i="23"/>
  <c r="N36" i="23"/>
  <c r="N32" i="23"/>
  <c r="N33" i="23"/>
  <c r="T40" i="23" s="1"/>
  <c r="R14" i="30" l="1"/>
  <c r="C69" i="30"/>
  <c r="C73" i="30"/>
  <c r="C77" i="30"/>
  <c r="C81" i="30"/>
  <c r="C85" i="30"/>
  <c r="C59" i="30"/>
  <c r="C63" i="30"/>
  <c r="C67" i="30"/>
  <c r="C54" i="30"/>
  <c r="C68" i="30"/>
  <c r="C76" i="30"/>
  <c r="C62" i="30"/>
  <c r="C66" i="30"/>
  <c r="C70" i="30"/>
  <c r="C74" i="30"/>
  <c r="C78" i="30"/>
  <c r="C82" i="30"/>
  <c r="C86" i="30"/>
  <c r="C60" i="30"/>
  <c r="C64" i="30"/>
  <c r="C55" i="30"/>
  <c r="C72" i="30"/>
  <c r="C84" i="30"/>
  <c r="C58" i="30"/>
  <c r="C53" i="30"/>
  <c r="C71" i="30"/>
  <c r="C75" i="30"/>
  <c r="C79" i="30"/>
  <c r="C83" i="30"/>
  <c r="C87" i="30"/>
  <c r="C61" i="30"/>
  <c r="C65" i="30"/>
  <c r="C56" i="30"/>
  <c r="C80" i="30"/>
  <c r="C57" i="30"/>
  <c r="O13" i="34"/>
  <c r="E4" i="34" s="1"/>
  <c r="D25" i="34" s="1"/>
  <c r="D26" i="34"/>
  <c r="D17" i="34"/>
  <c r="D20" i="34"/>
  <c r="D23" i="34"/>
  <c r="D19" i="34"/>
  <c r="C42" i="30"/>
  <c r="C43" i="30"/>
  <c r="C47" i="30"/>
  <c r="C51" i="30"/>
  <c r="C35" i="30"/>
  <c r="C39" i="30"/>
  <c r="C44" i="30"/>
  <c r="C48" i="30"/>
  <c r="C52" i="30"/>
  <c r="C36" i="30"/>
  <c r="C40" i="30"/>
  <c r="C46" i="30"/>
  <c r="C34" i="30"/>
  <c r="C45" i="30"/>
  <c r="C49" i="30"/>
  <c r="C33" i="30"/>
  <c r="C37" i="30"/>
  <c r="C41" i="30"/>
  <c r="C50" i="30"/>
  <c r="C38" i="30"/>
  <c r="D47" i="30"/>
  <c r="D48" i="30"/>
  <c r="D51" i="30"/>
  <c r="D38" i="30"/>
  <c r="D42" i="30"/>
  <c r="D33" i="30"/>
  <c r="D36" i="30"/>
  <c r="D40" i="30"/>
  <c r="N18" i="30"/>
  <c r="N39" i="30"/>
  <c r="C12" i="30"/>
  <c r="N23" i="30"/>
  <c r="N44" i="30"/>
  <c r="N20" i="30"/>
  <c r="N41" i="30"/>
  <c r="N24" i="30"/>
  <c r="N45" i="30"/>
  <c r="N22" i="30"/>
  <c r="N43" i="30"/>
  <c r="N26" i="30"/>
  <c r="N47" i="30"/>
  <c r="N19" i="30"/>
  <c r="N40" i="30"/>
  <c r="N27" i="30"/>
  <c r="N48" i="30"/>
  <c r="N17" i="30"/>
  <c r="N38" i="30"/>
  <c r="N21" i="30"/>
  <c r="N42" i="30"/>
  <c r="N25" i="30"/>
  <c r="N46" i="30"/>
  <c r="C26" i="30"/>
  <c r="C22" i="30"/>
  <c r="C18" i="30"/>
  <c r="C30" i="30"/>
  <c r="C14" i="30"/>
  <c r="C10" i="30"/>
  <c r="C9" i="30"/>
  <c r="C31" i="30"/>
  <c r="C27" i="30"/>
  <c r="C23" i="30"/>
  <c r="C19" i="30"/>
  <c r="C15" i="30"/>
  <c r="D15" i="30" s="1"/>
  <c r="C11" i="30"/>
  <c r="D14" i="30"/>
  <c r="C29" i="30"/>
  <c r="C25" i="30"/>
  <c r="C21" i="30"/>
  <c r="C17" i="30"/>
  <c r="C13" i="30"/>
  <c r="D13" i="30" s="1"/>
  <c r="C32" i="30"/>
  <c r="C28" i="30"/>
  <c r="C24" i="30"/>
  <c r="C20" i="30"/>
  <c r="C16" i="30"/>
  <c r="T36" i="23"/>
  <c r="T43" i="23"/>
  <c r="T39" i="23"/>
  <c r="T46" i="23"/>
  <c r="T42" i="23"/>
  <c r="T38" i="23"/>
  <c r="T45" i="23"/>
  <c r="T41" i="23"/>
  <c r="T37" i="23"/>
  <c r="T44" i="23"/>
  <c r="B2" i="23"/>
  <c r="B3" i="23"/>
  <c r="R10" i="23"/>
  <c r="N24" i="23" s="1"/>
  <c r="R3" i="23"/>
  <c r="N17" i="23" s="1"/>
  <c r="R4" i="23"/>
  <c r="N18" i="23" s="1"/>
  <c r="R5" i="23"/>
  <c r="N19" i="23" s="1"/>
  <c r="R6" i="23"/>
  <c r="N20" i="23" s="1"/>
  <c r="R7" i="23"/>
  <c r="N21" i="23" s="1"/>
  <c r="R8" i="23"/>
  <c r="N22" i="23" s="1"/>
  <c r="R9" i="23"/>
  <c r="N23" i="23" s="1"/>
  <c r="R11" i="23"/>
  <c r="N25" i="23" s="1"/>
  <c r="R12" i="23"/>
  <c r="N26" i="23" s="1"/>
  <c r="R2" i="23"/>
  <c r="N16" i="23" s="1"/>
  <c r="N3" i="23"/>
  <c r="N2" i="23"/>
  <c r="B14" i="24"/>
  <c r="B18" i="24"/>
  <c r="B8" i="24"/>
  <c r="B9" i="24"/>
  <c r="B10" i="24"/>
  <c r="B11" i="24"/>
  <c r="B12" i="24"/>
  <c r="B13" i="24"/>
  <c r="B15" i="24"/>
  <c r="B16" i="24"/>
  <c r="B17" i="24"/>
  <c r="B28" i="27"/>
  <c r="B29" i="27"/>
  <c r="B30" i="27"/>
  <c r="B31" i="27"/>
  <c r="B32" i="27"/>
  <c r="B33" i="27"/>
  <c r="B34" i="27"/>
  <c r="B35" i="27"/>
  <c r="B36" i="27"/>
  <c r="B37" i="27"/>
  <c r="B38" i="27"/>
  <c r="B8" i="27"/>
  <c r="B9" i="27"/>
  <c r="B10" i="27"/>
  <c r="B11" i="27"/>
  <c r="B12" i="27"/>
  <c r="B13" i="27"/>
  <c r="B14" i="27"/>
  <c r="B15" i="27"/>
  <c r="B16" i="27"/>
  <c r="B17" i="27"/>
  <c r="B18" i="27"/>
  <c r="B24" i="27"/>
  <c r="B25" i="27"/>
  <c r="G28" i="27" s="1"/>
  <c r="B4" i="27"/>
  <c r="B5" i="27"/>
  <c r="B3" i="27"/>
  <c r="E2" i="29"/>
  <c r="B3" i="24"/>
  <c r="B4" i="24"/>
  <c r="B2" i="24"/>
  <c r="D55" i="30" l="1"/>
  <c r="D87" i="30"/>
  <c r="D71" i="30"/>
  <c r="D54" i="30"/>
  <c r="D86" i="30"/>
  <c r="D70" i="30"/>
  <c r="D76" i="30"/>
  <c r="D65" i="30"/>
  <c r="D77" i="30"/>
  <c r="D67" i="30"/>
  <c r="D83" i="30"/>
  <c r="D60" i="30"/>
  <c r="D66" i="30"/>
  <c r="D82" i="30"/>
  <c r="D56" i="30"/>
  <c r="D68" i="30"/>
  <c r="D61" i="30"/>
  <c r="D73" i="30"/>
  <c r="D63" i="30"/>
  <c r="D79" i="30"/>
  <c r="D80" i="30"/>
  <c r="D62" i="30"/>
  <c r="D78" i="30"/>
  <c r="D64" i="30"/>
  <c r="D57" i="30"/>
  <c r="D85" i="30"/>
  <c r="D69" i="30"/>
  <c r="D59" i="30"/>
  <c r="D75" i="30"/>
  <c r="D72" i="30"/>
  <c r="D58" i="30"/>
  <c r="D74" i="30"/>
  <c r="D84" i="30"/>
  <c r="D53" i="30"/>
  <c r="D81" i="30"/>
  <c r="T14" i="30"/>
  <c r="D18" i="34"/>
  <c r="D27" i="34"/>
  <c r="D21" i="34"/>
  <c r="G21" i="34" s="1"/>
  <c r="D22" i="34"/>
  <c r="D24" i="34"/>
  <c r="E23" i="34"/>
  <c r="G23" i="34"/>
  <c r="F23" i="34"/>
  <c r="G17" i="34"/>
  <c r="E17" i="34"/>
  <c r="F17" i="34"/>
  <c r="G18" i="34"/>
  <c r="E18" i="34"/>
  <c r="F18" i="34"/>
  <c r="G27" i="34"/>
  <c r="E27" i="34"/>
  <c r="F27" i="34"/>
  <c r="E21" i="34"/>
  <c r="G22" i="34"/>
  <c r="F22" i="34"/>
  <c r="E22" i="34"/>
  <c r="G24" i="34"/>
  <c r="F24" i="34"/>
  <c r="E24" i="34"/>
  <c r="I24" i="34" s="1"/>
  <c r="J24" i="34" s="1"/>
  <c r="E25" i="34"/>
  <c r="G25" i="34"/>
  <c r="F25" i="34"/>
  <c r="E19" i="34"/>
  <c r="G19" i="34"/>
  <c r="F19" i="34"/>
  <c r="G20" i="34"/>
  <c r="E20" i="34"/>
  <c r="F20" i="34"/>
  <c r="G26" i="34"/>
  <c r="E26" i="34"/>
  <c r="F26" i="34"/>
  <c r="D34" i="30"/>
  <c r="D52" i="30"/>
  <c r="D12" i="30"/>
  <c r="D49" i="30"/>
  <c r="D44" i="30"/>
  <c r="C85" i="23"/>
  <c r="C86" i="23"/>
  <c r="C87" i="23"/>
  <c r="C88" i="23"/>
  <c r="C89" i="23"/>
  <c r="C90" i="23"/>
  <c r="C91" i="23"/>
  <c r="C92" i="23"/>
  <c r="C93" i="23"/>
  <c r="C94" i="23"/>
  <c r="D45" i="30"/>
  <c r="D43" i="30"/>
  <c r="D39" i="30"/>
  <c r="D41" i="30"/>
  <c r="D46" i="30"/>
  <c r="D37" i="30"/>
  <c r="D35" i="30"/>
  <c r="D50" i="30"/>
  <c r="D29" i="30"/>
  <c r="B3" i="30"/>
  <c r="C66" i="23"/>
  <c r="C70" i="23"/>
  <c r="C74" i="23"/>
  <c r="C78" i="23"/>
  <c r="C82" i="23"/>
  <c r="C71" i="23"/>
  <c r="C83" i="23"/>
  <c r="C72" i="23"/>
  <c r="C84" i="23"/>
  <c r="C67" i="23"/>
  <c r="C68" i="23"/>
  <c r="C80" i="23"/>
  <c r="C65" i="23"/>
  <c r="C69" i="23"/>
  <c r="C73" i="23"/>
  <c r="C77" i="23"/>
  <c r="C81" i="23"/>
  <c r="C75" i="23"/>
  <c r="C79" i="23"/>
  <c r="C76" i="23"/>
  <c r="D27" i="30"/>
  <c r="D31" i="30"/>
  <c r="D11" i="30"/>
  <c r="D26" i="30"/>
  <c r="C45" i="23"/>
  <c r="C49" i="23"/>
  <c r="C53" i="23"/>
  <c r="C57" i="23"/>
  <c r="C61" i="23"/>
  <c r="C46" i="23"/>
  <c r="C50" i="23"/>
  <c r="C54" i="23"/>
  <c r="C58" i="23"/>
  <c r="C62" i="23"/>
  <c r="C47" i="23"/>
  <c r="C51" i="23"/>
  <c r="C55" i="23"/>
  <c r="C59" i="23"/>
  <c r="C63" i="23"/>
  <c r="C48" i="23"/>
  <c r="C52" i="23"/>
  <c r="C56" i="23"/>
  <c r="C60" i="23"/>
  <c r="C64" i="23"/>
  <c r="D25" i="30"/>
  <c r="D23" i="30"/>
  <c r="D18" i="30"/>
  <c r="D9" i="30"/>
  <c r="C43" i="23"/>
  <c r="C40" i="23"/>
  <c r="C44" i="23"/>
  <c r="C42" i="23"/>
  <c r="C41" i="23"/>
  <c r="D17" i="30"/>
  <c r="D10" i="30"/>
  <c r="D28" i="30"/>
  <c r="D19" i="30"/>
  <c r="D20" i="30"/>
  <c r="D30" i="30"/>
  <c r="D21" i="30"/>
  <c r="D22" i="30"/>
  <c r="D16" i="30"/>
  <c r="D32" i="30"/>
  <c r="D24" i="30"/>
  <c r="C7" i="23"/>
  <c r="N31" i="23"/>
  <c r="C18" i="23"/>
  <c r="C34" i="23"/>
  <c r="C39" i="23"/>
  <c r="C30" i="23"/>
  <c r="C14" i="23"/>
  <c r="C38" i="23"/>
  <c r="C10" i="23"/>
  <c r="C26" i="23"/>
  <c r="C37" i="23"/>
  <c r="C22" i="23"/>
  <c r="C36" i="23"/>
  <c r="C35" i="23"/>
  <c r="C33" i="23"/>
  <c r="C29" i="23"/>
  <c r="C25" i="23"/>
  <c r="C21" i="23"/>
  <c r="C17" i="23"/>
  <c r="C13" i="23"/>
  <c r="C9" i="23"/>
  <c r="C32" i="23"/>
  <c r="C28" i="23"/>
  <c r="C24" i="23"/>
  <c r="C20" i="23"/>
  <c r="C16" i="23"/>
  <c r="C12" i="23"/>
  <c r="C8" i="23"/>
  <c r="C6" i="23"/>
  <c r="C31" i="23"/>
  <c r="C27" i="23"/>
  <c r="C23" i="23"/>
  <c r="C19" i="23"/>
  <c r="C15" i="23"/>
  <c r="C11" i="23"/>
  <c r="N4" i="23"/>
  <c r="B120" i="22"/>
  <c r="G35" i="27"/>
  <c r="G31" i="27"/>
  <c r="G38" i="27"/>
  <c r="G34" i="27"/>
  <c r="G30" i="27"/>
  <c r="G37" i="27"/>
  <c r="G33" i="27"/>
  <c r="G29" i="27"/>
  <c r="G36" i="27"/>
  <c r="G32" i="27"/>
  <c r="E2" i="24"/>
  <c r="B23" i="27"/>
  <c r="E3" i="24"/>
  <c r="B5" i="25"/>
  <c r="B7" i="25"/>
  <c r="B14" i="25"/>
  <c r="B10" i="25"/>
  <c r="B6" i="25"/>
  <c r="B13" i="25"/>
  <c r="B9" i="25"/>
  <c r="B8" i="25"/>
  <c r="B12" i="25"/>
  <c r="B15" i="25"/>
  <c r="B11" i="25"/>
  <c r="V14" i="30"/>
  <c r="P38" i="30" l="1"/>
  <c r="F21" i="34"/>
  <c r="I21" i="34" s="1"/>
  <c r="J21" i="34" s="1"/>
  <c r="I27" i="34"/>
  <c r="J27" i="34" s="1"/>
  <c r="I20" i="34"/>
  <c r="J20" i="34" s="1"/>
  <c r="I19" i="34"/>
  <c r="J19" i="34" s="1"/>
  <c r="I17" i="34"/>
  <c r="J17" i="34" s="1"/>
  <c r="I26" i="34"/>
  <c r="J26" i="34" s="1"/>
  <c r="I18" i="34"/>
  <c r="J18" i="34" s="1"/>
  <c r="I25" i="34"/>
  <c r="J25" i="34" s="1"/>
  <c r="I22" i="34"/>
  <c r="J22" i="34" s="1"/>
  <c r="I23" i="34"/>
  <c r="J23" i="34" s="1"/>
  <c r="D85" i="23"/>
  <c r="D86" i="23"/>
  <c r="D87" i="23"/>
  <c r="D88" i="23"/>
  <c r="D89" i="23"/>
  <c r="D90" i="23"/>
  <c r="D91" i="23"/>
  <c r="D92" i="23"/>
  <c r="D93" i="23"/>
  <c r="D94" i="23"/>
  <c r="D76" i="23"/>
  <c r="D77" i="23"/>
  <c r="D80" i="23"/>
  <c r="D72" i="23"/>
  <c r="D78" i="23"/>
  <c r="D79" i="23"/>
  <c r="D73" i="23"/>
  <c r="D68" i="23"/>
  <c r="D83" i="23"/>
  <c r="D74" i="23"/>
  <c r="D75" i="23"/>
  <c r="D69" i="23"/>
  <c r="D67" i="23"/>
  <c r="D71" i="23"/>
  <c r="D70" i="23"/>
  <c r="D81" i="23"/>
  <c r="D65" i="23"/>
  <c r="D84" i="23"/>
  <c r="D82" i="23"/>
  <c r="D66" i="23"/>
  <c r="D45" i="23"/>
  <c r="D49" i="23"/>
  <c r="D53" i="23"/>
  <c r="D57" i="23"/>
  <c r="D61" i="23"/>
  <c r="D46" i="23"/>
  <c r="D50" i="23"/>
  <c r="D54" i="23"/>
  <c r="D58" i="23"/>
  <c r="D62" i="23"/>
  <c r="D47" i="23"/>
  <c r="D51" i="23"/>
  <c r="D55" i="23"/>
  <c r="D59" i="23"/>
  <c r="D63" i="23"/>
  <c r="D48" i="23"/>
  <c r="D52" i="23"/>
  <c r="D56" i="23"/>
  <c r="D60" i="23"/>
  <c r="D64" i="23"/>
  <c r="D40" i="23"/>
  <c r="D44" i="23"/>
  <c r="D41" i="23"/>
  <c r="D43" i="23"/>
  <c r="D42" i="23"/>
  <c r="D7" i="23"/>
  <c r="D11" i="23"/>
  <c r="D15" i="23"/>
  <c r="D19" i="23"/>
  <c r="D23" i="23"/>
  <c r="D27" i="23"/>
  <c r="D31" i="23"/>
  <c r="D35" i="23"/>
  <c r="D39" i="23"/>
  <c r="D8" i="23"/>
  <c r="D12" i="23"/>
  <c r="D16" i="23"/>
  <c r="D20" i="23"/>
  <c r="D24" i="23"/>
  <c r="D28" i="23"/>
  <c r="D32" i="23"/>
  <c r="D36" i="23"/>
  <c r="D9" i="23"/>
  <c r="D13" i="23"/>
  <c r="D17" i="23"/>
  <c r="D21" i="23"/>
  <c r="D25" i="23"/>
  <c r="D29" i="23"/>
  <c r="D33" i="23"/>
  <c r="D37" i="23"/>
  <c r="D6" i="23"/>
  <c r="D10" i="23"/>
  <c r="D14" i="23"/>
  <c r="D18" i="23"/>
  <c r="D22" i="23"/>
  <c r="D26" i="23"/>
  <c r="D30" i="23"/>
  <c r="D34" i="23"/>
  <c r="D38" i="23"/>
  <c r="E4" i="24"/>
  <c r="C11" i="25"/>
  <c r="C14" i="25"/>
  <c r="C15" i="25"/>
  <c r="C13" i="25"/>
  <c r="C7" i="25"/>
  <c r="C9" i="25"/>
  <c r="C12" i="25"/>
  <c r="C6" i="25"/>
  <c r="C5" i="25"/>
  <c r="C8" i="25"/>
  <c r="C10" i="25"/>
  <c r="J28" i="34" l="1"/>
  <c r="J3" i="34" s="1"/>
  <c r="N6" i="31"/>
  <c r="N5" i="31"/>
  <c r="N11" i="31"/>
  <c r="N2" i="31"/>
  <c r="N4" i="31"/>
  <c r="N8" i="31"/>
  <c r="N3" i="31"/>
  <c r="N10" i="31"/>
  <c r="N7" i="31"/>
  <c r="N9" i="31"/>
  <c r="N12" i="31"/>
  <c r="O43" i="23"/>
  <c r="S9" i="30"/>
  <c r="O45" i="30" s="1"/>
  <c r="S9" i="23"/>
  <c r="O23" i="23" s="1"/>
  <c r="S2" i="30"/>
  <c r="O38" i="30" s="1"/>
  <c r="O36" i="23"/>
  <c r="S2" i="23"/>
  <c r="O16" i="23" s="1"/>
  <c r="S8" i="30"/>
  <c r="O44" i="30" s="1"/>
  <c r="O42" i="23"/>
  <c r="S8" i="23"/>
  <c r="O22" i="23" s="1"/>
  <c r="S3" i="30"/>
  <c r="O39" i="30" s="1"/>
  <c r="O37" i="23"/>
  <c r="S3" i="23"/>
  <c r="O17" i="23" s="1"/>
  <c r="S10" i="30"/>
  <c r="O46" i="30" s="1"/>
  <c r="O44" i="23"/>
  <c r="S10" i="23"/>
  <c r="O24" i="23" s="1"/>
  <c r="S7" i="30"/>
  <c r="O43" i="30" s="1"/>
  <c r="O41" i="23"/>
  <c r="S7" i="23"/>
  <c r="O21" i="23" s="1"/>
  <c r="S12" i="30"/>
  <c r="O46" i="23"/>
  <c r="S12" i="23"/>
  <c r="O39" i="23"/>
  <c r="S5" i="30"/>
  <c r="O41" i="30" s="1"/>
  <c r="S5" i="23"/>
  <c r="O19" i="23" s="1"/>
  <c r="S6" i="30"/>
  <c r="O42" i="30" s="1"/>
  <c r="O40" i="23"/>
  <c r="S6" i="23"/>
  <c r="O20" i="23" s="1"/>
  <c r="S11" i="30"/>
  <c r="O47" i="30" s="1"/>
  <c r="O45" i="23"/>
  <c r="S11" i="23"/>
  <c r="O25" i="23" s="1"/>
  <c r="S4" i="30"/>
  <c r="O40" i="30" s="1"/>
  <c r="O38" i="23"/>
  <c r="S4" i="23"/>
  <c r="O18" i="23" s="1"/>
  <c r="C11" i="24"/>
  <c r="C12" i="24"/>
  <c r="C17" i="24"/>
  <c r="C8" i="24"/>
  <c r="C10" i="24"/>
  <c r="C14" i="24"/>
  <c r="C9" i="24"/>
  <c r="C16" i="24"/>
  <c r="C13" i="24"/>
  <c r="C15" i="24"/>
  <c r="C18" i="24"/>
  <c r="C31" i="27"/>
  <c r="C32" i="27"/>
  <c r="C37" i="27"/>
  <c r="C28" i="27"/>
  <c r="C30" i="27"/>
  <c r="C34" i="27"/>
  <c r="C29" i="27"/>
  <c r="C36" i="27"/>
  <c r="C33" i="27"/>
  <c r="C35" i="27"/>
  <c r="C38" i="27"/>
  <c r="C15" i="27"/>
  <c r="C17" i="27"/>
  <c r="C8" i="27"/>
  <c r="C10" i="27"/>
  <c r="C14" i="27"/>
  <c r="C13" i="27"/>
  <c r="C12" i="27"/>
  <c r="C9" i="27"/>
  <c r="C16" i="27"/>
  <c r="C18" i="27"/>
  <c r="C11" i="27"/>
  <c r="D12" i="25"/>
  <c r="D8" i="25"/>
  <c r="D15" i="25"/>
  <c r="D11" i="25"/>
  <c r="D7" i="25"/>
  <c r="D14" i="25"/>
  <c r="D10" i="25"/>
  <c r="D6" i="25"/>
  <c r="D13" i="25"/>
  <c r="D9" i="25"/>
  <c r="D5" i="25"/>
  <c r="L10" i="31" l="1"/>
  <c r="O10" i="31" s="1"/>
  <c r="L4" i="31"/>
  <c r="O4" i="31" s="1"/>
  <c r="L3" i="31"/>
  <c r="O3" i="31" s="1"/>
  <c r="L8" i="31"/>
  <c r="O8" i="31" s="1"/>
  <c r="L2" i="31"/>
  <c r="O2" i="31" s="1"/>
  <c r="L12" i="31"/>
  <c r="O12" i="31" s="1"/>
  <c r="L7" i="31"/>
  <c r="O7" i="31" s="1"/>
  <c r="L6" i="31"/>
  <c r="O6" i="31" s="1"/>
  <c r="L11" i="31"/>
  <c r="O11" i="31" s="1"/>
  <c r="L5" i="31"/>
  <c r="O5" i="31" s="1"/>
  <c r="L9" i="31"/>
  <c r="O9" i="31" s="1"/>
  <c r="O48" i="30"/>
  <c r="O26" i="23"/>
  <c r="Q2" i="30"/>
  <c r="Q2" i="23"/>
  <c r="Q7" i="30"/>
  <c r="Q7" i="23"/>
  <c r="Q6" i="30"/>
  <c r="Q6" i="23"/>
  <c r="Q11" i="30"/>
  <c r="Q11" i="23"/>
  <c r="Q5" i="30"/>
  <c r="Q5" i="23"/>
  <c r="O26" i="30"/>
  <c r="O22" i="30"/>
  <c r="O17" i="30"/>
  <c r="Q4" i="30"/>
  <c r="Q4" i="23"/>
  <c r="O19" i="30"/>
  <c r="O20" i="30"/>
  <c r="O27" i="30"/>
  <c r="O23" i="30"/>
  <c r="Q10" i="30"/>
  <c r="Q10" i="23"/>
  <c r="Q9" i="30"/>
  <c r="Q9" i="23"/>
  <c r="Q3" i="30"/>
  <c r="Q3" i="23"/>
  <c r="Q8" i="30"/>
  <c r="Q8" i="23"/>
  <c r="O18" i="30"/>
  <c r="O24" i="30"/>
  <c r="Q12" i="30"/>
  <c r="Q12" i="23"/>
  <c r="O21" i="30"/>
  <c r="O25" i="30"/>
  <c r="A12" i="24"/>
  <c r="D12" i="24" s="1"/>
  <c r="A11" i="24"/>
  <c r="D11" i="24" s="1"/>
  <c r="A8" i="24"/>
  <c r="D8" i="24" s="1"/>
  <c r="A13" i="24"/>
  <c r="D13" i="24" s="1"/>
  <c r="A18" i="24"/>
  <c r="D18" i="24" s="1"/>
  <c r="A17" i="24"/>
  <c r="D17" i="24" s="1"/>
  <c r="A16" i="24"/>
  <c r="D16" i="24" s="1"/>
  <c r="A10" i="24"/>
  <c r="D10" i="24" s="1"/>
  <c r="A9" i="24"/>
  <c r="D9" i="24" s="1"/>
  <c r="A14" i="24"/>
  <c r="D14" i="24" s="1"/>
  <c r="A15" i="24"/>
  <c r="D15" i="24" s="1"/>
  <c r="G93" i="23"/>
  <c r="F71" i="23"/>
  <c r="F20" i="23"/>
  <c r="F10" i="23"/>
  <c r="F49" i="23"/>
  <c r="G85" i="23"/>
  <c r="G61" i="23"/>
  <c r="F46" i="23"/>
  <c r="G65" i="23"/>
  <c r="F82" i="23"/>
  <c r="G90" i="23"/>
  <c r="G51" i="23"/>
  <c r="F50" i="23"/>
  <c r="F75" i="23"/>
  <c r="F24" i="23"/>
  <c r="F12" i="23"/>
  <c r="F76" i="23"/>
  <c r="G59" i="23"/>
  <c r="F60" i="23"/>
  <c r="F43" i="23"/>
  <c r="G68" i="23"/>
  <c r="F63" i="23"/>
  <c r="G41" i="23"/>
  <c r="G78" i="23"/>
  <c r="F32" i="23"/>
  <c r="G66" i="23"/>
  <c r="G82" i="23"/>
  <c r="F72" i="23"/>
  <c r="F57" i="23"/>
  <c r="F18" i="23"/>
  <c r="F56" i="23"/>
  <c r="G83" i="23"/>
  <c r="F42" i="23"/>
  <c r="F73" i="23"/>
  <c r="G69" i="23"/>
  <c r="G79" i="23"/>
  <c r="G94" i="23"/>
  <c r="G42" i="23"/>
  <c r="F19" i="23"/>
  <c r="F23" i="23"/>
  <c r="G45" i="23"/>
  <c r="G76" i="23"/>
  <c r="F65" i="23"/>
  <c r="F68" i="23"/>
  <c r="F93" i="23"/>
  <c r="G56" i="23"/>
  <c r="F6" i="23"/>
  <c r="G91" i="23"/>
  <c r="G92" i="23"/>
  <c r="F26" i="23"/>
  <c r="F13" i="23"/>
  <c r="F67" i="23"/>
  <c r="F94" i="23"/>
  <c r="G63" i="23"/>
  <c r="G84" i="23"/>
  <c r="F29" i="23"/>
  <c r="F64" i="23"/>
  <c r="F55" i="23"/>
  <c r="F53" i="23"/>
  <c r="F84" i="23"/>
  <c r="F28" i="23"/>
  <c r="F86" i="23"/>
  <c r="F51" i="23"/>
  <c r="G50" i="23"/>
  <c r="G86" i="23"/>
  <c r="G58" i="23"/>
  <c r="G89" i="23"/>
  <c r="F58" i="23"/>
  <c r="F35" i="23"/>
  <c r="F39" i="23"/>
  <c r="G67" i="23"/>
  <c r="F8" i="23"/>
  <c r="F44" i="23"/>
  <c r="F16" i="23"/>
  <c r="G70" i="23"/>
  <c r="G49" i="23"/>
  <c r="F21" i="23"/>
  <c r="G54" i="23"/>
  <c r="F41" i="23"/>
  <c r="G53" i="23"/>
  <c r="F79" i="23"/>
  <c r="F30" i="23"/>
  <c r="G52" i="23"/>
  <c r="F89" i="23"/>
  <c r="F92" i="23"/>
  <c r="G64" i="23"/>
  <c r="G40" i="23"/>
  <c r="F85" i="23"/>
  <c r="F7" i="23"/>
  <c r="G71" i="23"/>
  <c r="F54" i="23"/>
  <c r="G88" i="23"/>
  <c r="G55" i="23"/>
  <c r="F61" i="23"/>
  <c r="F27" i="23"/>
  <c r="F74" i="23"/>
  <c r="F81" i="23"/>
  <c r="G75" i="23"/>
  <c r="F31" i="23"/>
  <c r="F83" i="23"/>
  <c r="G87" i="23"/>
  <c r="F69" i="23"/>
  <c r="F47" i="23"/>
  <c r="G48" i="23"/>
  <c r="F38" i="23"/>
  <c r="F77" i="23"/>
  <c r="G44" i="23"/>
  <c r="G80" i="23"/>
  <c r="F70" i="23"/>
  <c r="F87" i="23"/>
  <c r="G60" i="23"/>
  <c r="G57" i="23"/>
  <c r="G81" i="23"/>
  <c r="F91" i="23"/>
  <c r="F88" i="23"/>
  <c r="F33" i="23"/>
  <c r="F78" i="23"/>
  <c r="G47" i="23"/>
  <c r="G46" i="23"/>
  <c r="F17" i="23"/>
  <c r="F37" i="23"/>
  <c r="F90" i="23"/>
  <c r="F15" i="23"/>
  <c r="F9" i="23"/>
  <c r="G72" i="23"/>
  <c r="F25" i="23"/>
  <c r="F36" i="23"/>
  <c r="G43" i="23"/>
  <c r="F52" i="23"/>
  <c r="F48" i="23"/>
  <c r="F22" i="23"/>
  <c r="F62" i="23"/>
  <c r="F14" i="23"/>
  <c r="G62" i="23"/>
  <c r="G77" i="23"/>
  <c r="F34" i="23"/>
  <c r="F45" i="23"/>
  <c r="F80" i="23"/>
  <c r="G73" i="23"/>
  <c r="F40" i="23"/>
  <c r="F11" i="23"/>
  <c r="F59" i="23"/>
  <c r="G74" i="23"/>
  <c r="F66" i="23"/>
  <c r="F64" i="30"/>
  <c r="G81" i="30"/>
  <c r="F51" i="30"/>
  <c r="G18" i="30"/>
  <c r="G50" i="30"/>
  <c r="F19" i="30"/>
  <c r="F53" i="30"/>
  <c r="F52" i="30"/>
  <c r="F85" i="30"/>
  <c r="F50" i="30"/>
  <c r="F27" i="30"/>
  <c r="G25" i="30"/>
  <c r="F54" i="30"/>
  <c r="F70" i="30"/>
  <c r="F35" i="30"/>
  <c r="G24" i="30"/>
  <c r="G21" i="30"/>
  <c r="F48" i="30"/>
  <c r="G38" i="30"/>
  <c r="F62" i="30"/>
  <c r="G67" i="30"/>
  <c r="G13" i="30"/>
  <c r="F74" i="30"/>
  <c r="F31" i="30"/>
  <c r="G48" i="30"/>
  <c r="G62" i="30"/>
  <c r="F16" i="30"/>
  <c r="F65" i="30"/>
  <c r="G69" i="30"/>
  <c r="F57" i="30"/>
  <c r="F55" i="30"/>
  <c r="F58" i="30"/>
  <c r="G55" i="30"/>
  <c r="F10" i="30"/>
  <c r="G87" i="30"/>
  <c r="F15" i="30"/>
  <c r="G36" i="30"/>
  <c r="G82" i="30"/>
  <c r="G31" i="30"/>
  <c r="F83" i="30"/>
  <c r="F41" i="30"/>
  <c r="G75" i="30"/>
  <c r="F68" i="30"/>
  <c r="G26" i="30"/>
  <c r="G32" i="30"/>
  <c r="G42" i="30"/>
  <c r="F28" i="30"/>
  <c r="G12" i="30"/>
  <c r="G45" i="30"/>
  <c r="G17" i="30"/>
  <c r="G71" i="30"/>
  <c r="F30" i="30"/>
  <c r="F14" i="30"/>
  <c r="G41" i="30"/>
  <c r="F32" i="30"/>
  <c r="G11" i="30"/>
  <c r="F76" i="30"/>
  <c r="G29" i="30"/>
  <c r="F25" i="30"/>
  <c r="F45" i="30"/>
  <c r="F42" i="30"/>
  <c r="G49" i="30"/>
  <c r="G27" i="30"/>
  <c r="G73" i="30"/>
  <c r="G60" i="30"/>
  <c r="G65" i="30"/>
  <c r="F60" i="30"/>
  <c r="G63" i="30"/>
  <c r="G68" i="30"/>
  <c r="G74" i="30"/>
  <c r="G76" i="30"/>
  <c r="G34" i="30"/>
  <c r="F71" i="30"/>
  <c r="G20" i="30"/>
  <c r="G22" i="30"/>
  <c r="F43" i="30"/>
  <c r="F47" i="30"/>
  <c r="F12" i="30"/>
  <c r="G77" i="30"/>
  <c r="F44" i="30"/>
  <c r="G43" i="30"/>
  <c r="G40" i="30"/>
  <c r="G19" i="30"/>
  <c r="G54" i="30"/>
  <c r="G33" i="30"/>
  <c r="G58" i="30"/>
  <c r="G23" i="30"/>
  <c r="G56" i="30"/>
  <c r="F22" i="30"/>
  <c r="F34" i="30"/>
  <c r="G30" i="30"/>
  <c r="G84" i="30"/>
  <c r="G83" i="30"/>
  <c r="G57" i="30"/>
  <c r="F81" i="30"/>
  <c r="G35" i="30"/>
  <c r="F11" i="30"/>
  <c r="F61" i="30"/>
  <c r="G47" i="30"/>
  <c r="F38" i="30"/>
  <c r="F20" i="30"/>
  <c r="G64" i="30"/>
  <c r="F87" i="30"/>
  <c r="F18" i="30"/>
  <c r="G14" i="30"/>
  <c r="F13" i="30"/>
  <c r="F67" i="30"/>
  <c r="F56" i="30"/>
  <c r="G79" i="30"/>
  <c r="G52" i="30"/>
  <c r="G16" i="30"/>
  <c r="F17" i="30"/>
  <c r="G28" i="30"/>
  <c r="F40" i="30"/>
  <c r="F77" i="30"/>
  <c r="F78" i="30"/>
  <c r="F66" i="30"/>
  <c r="G10" i="30"/>
  <c r="F73" i="30"/>
  <c r="F23" i="30"/>
  <c r="F79" i="30"/>
  <c r="F69" i="30"/>
  <c r="G70" i="30"/>
  <c r="G80" i="30"/>
  <c r="F72" i="30"/>
  <c r="G51" i="30"/>
  <c r="F9" i="30"/>
  <c r="F29" i="30"/>
  <c r="G46" i="30"/>
  <c r="G9" i="30"/>
  <c r="F21" i="30"/>
  <c r="F37" i="30"/>
  <c r="G37" i="30"/>
  <c r="G61" i="30"/>
  <c r="F26" i="30"/>
  <c r="G15" i="30"/>
  <c r="G72" i="30"/>
  <c r="F75" i="30"/>
  <c r="F49" i="30"/>
  <c r="G39" i="30"/>
  <c r="G85" i="30"/>
  <c r="G59" i="30"/>
  <c r="F46" i="30"/>
  <c r="F80" i="30"/>
  <c r="G53" i="30"/>
  <c r="F86" i="30"/>
  <c r="F84" i="30"/>
  <c r="F36" i="30"/>
  <c r="F33" i="30"/>
  <c r="F24" i="30"/>
  <c r="F39" i="30"/>
  <c r="F82" i="30"/>
  <c r="F63" i="30"/>
  <c r="G78" i="30"/>
  <c r="G44" i="30"/>
  <c r="F59" i="30"/>
  <c r="G86" i="30"/>
  <c r="G66" i="30"/>
  <c r="P40" i="30" l="1"/>
  <c r="Q40" i="30" s="1"/>
  <c r="P45" i="30"/>
  <c r="Q45" i="30" s="1"/>
  <c r="P43" i="30"/>
  <c r="Q43" i="30" s="1"/>
  <c r="P22" i="30"/>
  <c r="P23" i="30"/>
  <c r="P21" i="30"/>
  <c r="P46" i="30"/>
  <c r="Q46" i="30" s="1"/>
  <c r="P25" i="30"/>
  <c r="P41" i="30"/>
  <c r="Q41" i="30" s="1"/>
  <c r="P19" i="30"/>
  <c r="P44" i="30"/>
  <c r="Q44" i="30" s="1"/>
  <c r="P42" i="30"/>
  <c r="Q42" i="30" s="1"/>
  <c r="P47" i="30"/>
  <c r="Q47" i="30" s="1"/>
  <c r="P26" i="30"/>
  <c r="P27" i="30"/>
  <c r="P17" i="30"/>
  <c r="P48" i="30"/>
  <c r="Q48" i="30" s="1"/>
  <c r="Q38" i="30"/>
  <c r="P20" i="30"/>
  <c r="P39" i="30"/>
  <c r="Q39" i="30" s="1"/>
  <c r="P18" i="30"/>
  <c r="P24" i="30"/>
  <c r="H34" i="30"/>
  <c r="H38" i="30"/>
  <c r="H42" i="30"/>
  <c r="H46" i="30"/>
  <c r="H50" i="30"/>
  <c r="H54" i="30"/>
  <c r="H58" i="30"/>
  <c r="H62" i="30"/>
  <c r="H66" i="30"/>
  <c r="H70" i="30"/>
  <c r="H74" i="30"/>
  <c r="H78" i="30"/>
  <c r="H86" i="30"/>
  <c r="H52" i="30"/>
  <c r="H68" i="30"/>
  <c r="H84" i="30"/>
  <c r="H35" i="30"/>
  <c r="H39" i="30"/>
  <c r="H43" i="30"/>
  <c r="H47" i="30"/>
  <c r="H51" i="30"/>
  <c r="H55" i="30"/>
  <c r="H59" i="30"/>
  <c r="H63" i="30"/>
  <c r="H67" i="30"/>
  <c r="H71" i="30"/>
  <c r="H75" i="30"/>
  <c r="H79" i="30"/>
  <c r="H83" i="30"/>
  <c r="H87" i="30"/>
  <c r="H48" i="30"/>
  <c r="H64" i="30"/>
  <c r="H80" i="30"/>
  <c r="H36" i="30"/>
  <c r="H44" i="30"/>
  <c r="H56" i="30"/>
  <c r="H72" i="30"/>
  <c r="H33" i="30"/>
  <c r="H37" i="30"/>
  <c r="H41" i="30"/>
  <c r="H45" i="30"/>
  <c r="H49" i="30"/>
  <c r="H53" i="30"/>
  <c r="H57" i="30"/>
  <c r="H61" i="30"/>
  <c r="H65" i="30"/>
  <c r="H69" i="30"/>
  <c r="H73" i="30"/>
  <c r="H77" i="30"/>
  <c r="H81" i="30"/>
  <c r="H85" i="30"/>
  <c r="H82" i="30"/>
  <c r="H40" i="30"/>
  <c r="H60" i="30"/>
  <c r="H76" i="30"/>
  <c r="O13" i="31"/>
  <c r="E4" i="31" s="1"/>
  <c r="H85" i="23"/>
  <c r="H86" i="23"/>
  <c r="H87" i="23"/>
  <c r="H88" i="23"/>
  <c r="H89" i="23"/>
  <c r="H90" i="23"/>
  <c r="H91" i="23"/>
  <c r="H92" i="23"/>
  <c r="H93" i="23"/>
  <c r="H94" i="23"/>
  <c r="H10" i="30"/>
  <c r="H14" i="30"/>
  <c r="H18" i="30"/>
  <c r="H22" i="30"/>
  <c r="H26" i="30"/>
  <c r="H30" i="30"/>
  <c r="H17" i="30"/>
  <c r="H11" i="30"/>
  <c r="H15" i="30"/>
  <c r="H19" i="30"/>
  <c r="H23" i="30"/>
  <c r="H27" i="30"/>
  <c r="H31" i="30"/>
  <c r="H21" i="30"/>
  <c r="H29" i="30"/>
  <c r="H12" i="30"/>
  <c r="H16" i="30"/>
  <c r="H20" i="30"/>
  <c r="H24" i="30"/>
  <c r="H28" i="30"/>
  <c r="H32" i="30"/>
  <c r="H13" i="30"/>
  <c r="H25" i="30"/>
  <c r="H71" i="23"/>
  <c r="H83" i="23"/>
  <c r="H72" i="23"/>
  <c r="H80" i="23"/>
  <c r="H65" i="23"/>
  <c r="H69" i="23"/>
  <c r="H73" i="23"/>
  <c r="H77" i="23"/>
  <c r="H81" i="23"/>
  <c r="H67" i="23"/>
  <c r="H79" i="23"/>
  <c r="H76" i="23"/>
  <c r="H66" i="23"/>
  <c r="H70" i="23"/>
  <c r="H74" i="23"/>
  <c r="H78" i="23"/>
  <c r="H82" i="23"/>
  <c r="H75" i="23"/>
  <c r="H68" i="23"/>
  <c r="H84" i="23"/>
  <c r="H46" i="23"/>
  <c r="H50" i="23"/>
  <c r="H54" i="23"/>
  <c r="H58" i="23"/>
  <c r="H62" i="23"/>
  <c r="H47" i="23"/>
  <c r="H51" i="23"/>
  <c r="H55" i="23"/>
  <c r="H59" i="23"/>
  <c r="H63" i="23"/>
  <c r="H48" i="23"/>
  <c r="H52" i="23"/>
  <c r="H56" i="23"/>
  <c r="H60" i="23"/>
  <c r="H64" i="23"/>
  <c r="H45" i="23"/>
  <c r="H49" i="23"/>
  <c r="H53" i="23"/>
  <c r="H57" i="23"/>
  <c r="H61" i="23"/>
  <c r="H9" i="30"/>
  <c r="N14" i="23"/>
  <c r="H42" i="23"/>
  <c r="H44" i="23"/>
  <c r="H43" i="23"/>
  <c r="H40" i="23"/>
  <c r="H41" i="23"/>
  <c r="D19" i="24"/>
  <c r="H2" i="24" s="1"/>
  <c r="S27" i="30" l="1"/>
  <c r="R27" i="30"/>
  <c r="S17" i="30"/>
  <c r="R17" i="30"/>
  <c r="S25" i="30"/>
  <c r="R25" i="30"/>
  <c r="S22" i="30"/>
  <c r="R22" i="30"/>
  <c r="S20" i="30"/>
  <c r="R20" i="30"/>
  <c r="S24" i="30"/>
  <c r="R24" i="30"/>
  <c r="S26" i="30"/>
  <c r="R26" i="30"/>
  <c r="S19" i="30"/>
  <c r="R19" i="30"/>
  <c r="S21" i="30"/>
  <c r="R21" i="30"/>
  <c r="S18" i="30"/>
  <c r="R18" i="30"/>
  <c r="S23" i="30"/>
  <c r="R23" i="30"/>
  <c r="D27" i="31"/>
  <c r="D26" i="31"/>
  <c r="D25" i="31"/>
  <c r="D24" i="31"/>
  <c r="D23" i="31"/>
  <c r="D22" i="31"/>
  <c r="D21" i="31"/>
  <c r="D20" i="31"/>
  <c r="D19" i="31"/>
  <c r="D18" i="31"/>
  <c r="D17" i="31"/>
  <c r="S45" i="30"/>
  <c r="S41" i="30"/>
  <c r="S48" i="30"/>
  <c r="S44" i="30"/>
  <c r="S40" i="30"/>
  <c r="S47" i="30"/>
  <c r="S43" i="30"/>
  <c r="S39" i="30"/>
  <c r="S46" i="30"/>
  <c r="S42" i="30"/>
  <c r="S38" i="30"/>
  <c r="P42" i="23"/>
  <c r="P22" i="23"/>
  <c r="P44" i="23"/>
  <c r="P46" i="23"/>
  <c r="P38" i="23"/>
  <c r="P24" i="23"/>
  <c r="P36" i="23"/>
  <c r="P16" i="23"/>
  <c r="P21" i="23"/>
  <c r="P39" i="23"/>
  <c r="P19" i="23"/>
  <c r="P45" i="23"/>
  <c r="P26" i="23"/>
  <c r="P17" i="23"/>
  <c r="P23" i="23"/>
  <c r="P40" i="23"/>
  <c r="P18" i="23"/>
  <c r="P41" i="23"/>
  <c r="P20" i="23"/>
  <c r="P43" i="23"/>
  <c r="P37" i="23"/>
  <c r="P25" i="23"/>
  <c r="Q27" i="30"/>
  <c r="Q17" i="30"/>
  <c r="Q20" i="30"/>
  <c r="Q26" i="30"/>
  <c r="Q25" i="30"/>
  <c r="Q23" i="30"/>
  <c r="Q24" i="30"/>
  <c r="Q22" i="30"/>
  <c r="Q18" i="30"/>
  <c r="Q21" i="30"/>
  <c r="Q19" i="30"/>
  <c r="D9" i="27"/>
  <c r="E9" i="27" s="1"/>
  <c r="G12" i="23"/>
  <c r="G36" i="23"/>
  <c r="G22" i="23"/>
  <c r="G14" i="23"/>
  <c r="G21" i="23"/>
  <c r="G26" i="23"/>
  <c r="G11" i="23"/>
  <c r="G28" i="23"/>
  <c r="G33" i="23"/>
  <c r="G24" i="23"/>
  <c r="G32" i="23"/>
  <c r="G35" i="23"/>
  <c r="G23" i="23"/>
  <c r="G25" i="23"/>
  <c r="G18" i="23"/>
  <c r="G38" i="23"/>
  <c r="G7" i="23"/>
  <c r="G17" i="23"/>
  <c r="G16" i="23"/>
  <c r="G15" i="23"/>
  <c r="G13" i="23"/>
  <c r="G31" i="23"/>
  <c r="G29" i="23"/>
  <c r="G19" i="23"/>
  <c r="G9" i="23"/>
  <c r="G34" i="23"/>
  <c r="G37" i="23"/>
  <c r="G20" i="23"/>
  <c r="G6" i="23"/>
  <c r="G10" i="23"/>
  <c r="G8" i="23"/>
  <c r="G39" i="23"/>
  <c r="G30" i="23"/>
  <c r="G27" i="23"/>
  <c r="F19" i="31" l="1"/>
  <c r="G19" i="31"/>
  <c r="E19" i="31"/>
  <c r="I19" i="31" s="1"/>
  <c r="J19" i="31" s="1"/>
  <c r="G23" i="31"/>
  <c r="E23" i="31"/>
  <c r="F23" i="31"/>
  <c r="E27" i="31"/>
  <c r="I27" i="31" s="1"/>
  <c r="J27" i="31" s="1"/>
  <c r="G27" i="31"/>
  <c r="F27" i="31"/>
  <c r="G20" i="31"/>
  <c r="F20" i="31"/>
  <c r="E20" i="31"/>
  <c r="G24" i="31"/>
  <c r="F24" i="31"/>
  <c r="E24" i="31"/>
  <c r="I24" i="31" s="1"/>
  <c r="J24" i="31" s="1"/>
  <c r="F17" i="31"/>
  <c r="G17" i="31"/>
  <c r="E17" i="31"/>
  <c r="G21" i="31"/>
  <c r="E21" i="31"/>
  <c r="F21" i="31"/>
  <c r="G25" i="31"/>
  <c r="F25" i="31"/>
  <c r="E25" i="31"/>
  <c r="G18" i="31"/>
  <c r="F18" i="31"/>
  <c r="E18" i="31"/>
  <c r="I18" i="31" s="1"/>
  <c r="J18" i="31" s="1"/>
  <c r="G22" i="31"/>
  <c r="F22" i="31"/>
  <c r="E22" i="31"/>
  <c r="G26" i="31"/>
  <c r="F26" i="31"/>
  <c r="E26" i="31"/>
  <c r="T18" i="30"/>
  <c r="R39" i="30" s="1"/>
  <c r="U39" i="30" s="1"/>
  <c r="V39" i="30" s="1"/>
  <c r="T22" i="30"/>
  <c r="R43" i="30" s="1"/>
  <c r="U43" i="30" s="1"/>
  <c r="V43" i="30" s="1"/>
  <c r="T25" i="30"/>
  <c r="R46" i="30" s="1"/>
  <c r="U46" i="30" s="1"/>
  <c r="V46" i="30" s="1"/>
  <c r="T27" i="30"/>
  <c r="R48" i="30" s="1"/>
  <c r="U48" i="30" s="1"/>
  <c r="V48" i="30" s="1"/>
  <c r="R37" i="23"/>
  <c r="S37" i="23"/>
  <c r="Q37" i="23"/>
  <c r="Q18" i="23"/>
  <c r="R18" i="23"/>
  <c r="S18" i="23"/>
  <c r="S26" i="23"/>
  <c r="Q26" i="23"/>
  <c r="R26" i="23"/>
  <c r="R21" i="23"/>
  <c r="Q21" i="23"/>
  <c r="S21" i="23"/>
  <c r="S38" i="23"/>
  <c r="Q38" i="23"/>
  <c r="R38" i="23"/>
  <c r="S42" i="23"/>
  <c r="Q42" i="23"/>
  <c r="R42" i="23"/>
  <c r="T20" i="30"/>
  <c r="R41" i="30" s="1"/>
  <c r="U41" i="30" s="1"/>
  <c r="V41" i="30" s="1"/>
  <c r="R43" i="23"/>
  <c r="S43" i="23"/>
  <c r="Q43" i="23"/>
  <c r="R40" i="23"/>
  <c r="S40" i="23"/>
  <c r="Q40" i="23"/>
  <c r="S45" i="23"/>
  <c r="R45" i="23"/>
  <c r="Q45" i="23"/>
  <c r="R16" i="23"/>
  <c r="S16" i="23"/>
  <c r="Q16" i="23"/>
  <c r="Q46" i="23"/>
  <c r="S46" i="23"/>
  <c r="R46" i="23"/>
  <c r="T19" i="30"/>
  <c r="R40" i="30" s="1"/>
  <c r="U40" i="30" s="1"/>
  <c r="V40" i="30" s="1"/>
  <c r="T24" i="30"/>
  <c r="R45" i="30" s="1"/>
  <c r="U45" i="30" s="1"/>
  <c r="V45" i="30" s="1"/>
  <c r="Q20" i="23"/>
  <c r="R20" i="23"/>
  <c r="S20" i="23"/>
  <c r="S23" i="23"/>
  <c r="Q23" i="23"/>
  <c r="R23" i="23"/>
  <c r="Q19" i="23"/>
  <c r="R19" i="23"/>
  <c r="S19" i="23"/>
  <c r="R36" i="23"/>
  <c r="S36" i="23"/>
  <c r="Q36" i="23"/>
  <c r="R44" i="23"/>
  <c r="S44" i="23"/>
  <c r="Q44" i="23"/>
  <c r="T21" i="30"/>
  <c r="R42" i="30" s="1"/>
  <c r="U42" i="30" s="1"/>
  <c r="V42" i="30" s="1"/>
  <c r="T23" i="30"/>
  <c r="R44" i="30" s="1"/>
  <c r="U44" i="30" s="1"/>
  <c r="V44" i="30" s="1"/>
  <c r="T26" i="30"/>
  <c r="R47" i="30" s="1"/>
  <c r="U47" i="30" s="1"/>
  <c r="V47" i="30" s="1"/>
  <c r="T17" i="30"/>
  <c r="S25" i="23"/>
  <c r="Q25" i="23"/>
  <c r="R25" i="23"/>
  <c r="Q41" i="23"/>
  <c r="S41" i="23"/>
  <c r="R41" i="23"/>
  <c r="S17" i="23"/>
  <c r="R17" i="23"/>
  <c r="Q17" i="23"/>
  <c r="S39" i="23"/>
  <c r="R39" i="23"/>
  <c r="Q39" i="23"/>
  <c r="R24" i="23"/>
  <c r="S24" i="23"/>
  <c r="Q24" i="23"/>
  <c r="R22" i="23"/>
  <c r="Q22" i="23"/>
  <c r="S22" i="23"/>
  <c r="H29" i="23"/>
  <c r="H7" i="23"/>
  <c r="H23" i="23"/>
  <c r="H39" i="23"/>
  <c r="H20" i="23"/>
  <c r="H36" i="23"/>
  <c r="H17" i="23"/>
  <c r="H33" i="23"/>
  <c r="H10" i="23"/>
  <c r="H31" i="23"/>
  <c r="H12" i="23"/>
  <c r="H9" i="23"/>
  <c r="H34" i="23"/>
  <c r="H19" i="23"/>
  <c r="H16" i="23"/>
  <c r="H13" i="23"/>
  <c r="H38" i="23"/>
  <c r="H11" i="23"/>
  <c r="H27" i="23"/>
  <c r="H8" i="23"/>
  <c r="H24" i="23"/>
  <c r="H21" i="23"/>
  <c r="H37" i="23"/>
  <c r="H14" i="23"/>
  <c r="H30" i="23"/>
  <c r="H15" i="23"/>
  <c r="H28" i="23"/>
  <c r="H25" i="23"/>
  <c r="H18" i="23"/>
  <c r="H35" i="23"/>
  <c r="H32" i="23"/>
  <c r="H22" i="23"/>
  <c r="H26" i="23"/>
  <c r="H6" i="23"/>
  <c r="G9" i="27"/>
  <c r="F9" i="27"/>
  <c r="D31" i="27"/>
  <c r="F31" i="27" s="1"/>
  <c r="D13" i="27"/>
  <c r="D28" i="27"/>
  <c r="F28" i="27" s="1"/>
  <c r="D12" i="27"/>
  <c r="D8" i="27"/>
  <c r="D16" i="27"/>
  <c r="E16" i="27" s="1"/>
  <c r="D29" i="27"/>
  <c r="F29" i="27" s="1"/>
  <c r="D37" i="27"/>
  <c r="E37" i="27" s="1"/>
  <c r="D34" i="27"/>
  <c r="E34" i="27" s="1"/>
  <c r="D11" i="27"/>
  <c r="D35" i="27"/>
  <c r="D17" i="27"/>
  <c r="E17" i="27" s="1"/>
  <c r="D33" i="27"/>
  <c r="F33" i="27" s="1"/>
  <c r="D38" i="27"/>
  <c r="F38" i="27" s="1"/>
  <c r="D30" i="27"/>
  <c r="E30" i="27" s="1"/>
  <c r="D10" i="27"/>
  <c r="E10" i="27" s="1"/>
  <c r="D18" i="27"/>
  <c r="E18" i="27" s="1"/>
  <c r="D36" i="27"/>
  <c r="D15" i="27"/>
  <c r="E15" i="27" s="1"/>
  <c r="D14" i="27"/>
  <c r="E14" i="27" s="1"/>
  <c r="D32" i="27"/>
  <c r="R38" i="30" l="1"/>
  <c r="U38" i="30" s="1"/>
  <c r="V38" i="30" s="1"/>
  <c r="U49" i="30" s="1"/>
  <c r="I23" i="31"/>
  <c r="J23" i="31" s="1"/>
  <c r="I26" i="31"/>
  <c r="J26" i="31" s="1"/>
  <c r="I25" i="31"/>
  <c r="J25" i="31" s="1"/>
  <c r="I21" i="31"/>
  <c r="J21" i="31" s="1"/>
  <c r="I20" i="31"/>
  <c r="J20" i="31" s="1"/>
  <c r="I22" i="31"/>
  <c r="J22" i="31" s="1"/>
  <c r="I17" i="31"/>
  <c r="J17" i="31" s="1"/>
  <c r="J28" i="31" s="1"/>
  <c r="U20" i="30"/>
  <c r="V20" i="30" s="1"/>
  <c r="U36" i="23"/>
  <c r="V36" i="23" s="1"/>
  <c r="T16" i="23"/>
  <c r="U16" i="23" s="1"/>
  <c r="U42" i="23"/>
  <c r="V42" i="23" s="1"/>
  <c r="U41" i="23"/>
  <c r="V41" i="23" s="1"/>
  <c r="T24" i="23"/>
  <c r="U24" i="23" s="1"/>
  <c r="T20" i="23"/>
  <c r="U20" i="23" s="1"/>
  <c r="U46" i="23"/>
  <c r="V46" i="23" s="1"/>
  <c r="U22" i="30"/>
  <c r="V22" i="30" s="1"/>
  <c r="U23" i="30"/>
  <c r="V23" i="30" s="1"/>
  <c r="U39" i="23"/>
  <c r="V39" i="23" s="1"/>
  <c r="U17" i="30"/>
  <c r="V17" i="30" s="1"/>
  <c r="U21" i="30"/>
  <c r="V21" i="30" s="1"/>
  <c r="T23" i="23"/>
  <c r="U23" i="23" s="1"/>
  <c r="U19" i="30"/>
  <c r="V19" i="30" s="1"/>
  <c r="U45" i="23"/>
  <c r="V45" i="23" s="1"/>
  <c r="U38" i="23"/>
  <c r="V38" i="23" s="1"/>
  <c r="T25" i="23"/>
  <c r="U25" i="23" s="1"/>
  <c r="U26" i="30"/>
  <c r="V26" i="30" s="1"/>
  <c r="U44" i="23"/>
  <c r="V44" i="23" s="1"/>
  <c r="T19" i="23"/>
  <c r="U19" i="23" s="1"/>
  <c r="U24" i="30"/>
  <c r="V24" i="30" s="1"/>
  <c r="U43" i="23"/>
  <c r="V43" i="23" s="1"/>
  <c r="T26" i="23"/>
  <c r="U26" i="23" s="1"/>
  <c r="T18" i="23"/>
  <c r="U18" i="23" s="1"/>
  <c r="U25" i="30"/>
  <c r="V25" i="30" s="1"/>
  <c r="U18" i="30"/>
  <c r="V18" i="30" s="1"/>
  <c r="T22" i="23"/>
  <c r="U22" i="23" s="1"/>
  <c r="T17" i="23"/>
  <c r="U17" i="23" s="1"/>
  <c r="U40" i="23"/>
  <c r="V40" i="23" s="1"/>
  <c r="T21" i="23"/>
  <c r="U21" i="23" s="1"/>
  <c r="U37" i="23"/>
  <c r="V37" i="23" s="1"/>
  <c r="U27" i="30"/>
  <c r="V27" i="30" s="1"/>
  <c r="G13" i="27"/>
  <c r="E13" i="27"/>
  <c r="F8" i="27"/>
  <c r="E8" i="27"/>
  <c r="F12" i="27"/>
  <c r="E12" i="27"/>
  <c r="G11" i="27"/>
  <c r="E11" i="27"/>
  <c r="F37" i="27"/>
  <c r="H37" i="27" s="1"/>
  <c r="I37" i="27" s="1"/>
  <c r="F13" i="27"/>
  <c r="G12" i="27"/>
  <c r="F11" i="27"/>
  <c r="H9" i="27"/>
  <c r="I9" i="27" s="1"/>
  <c r="E33" i="27"/>
  <c r="H33" i="27" s="1"/>
  <c r="I33" i="27" s="1"/>
  <c r="E38" i="27"/>
  <c r="H38" i="27" s="1"/>
  <c r="I38" i="27" s="1"/>
  <c r="E29" i="27"/>
  <c r="H29" i="27" s="1"/>
  <c r="I29" i="27" s="1"/>
  <c r="F30" i="27"/>
  <c r="H30" i="27" s="1"/>
  <c r="I30" i="27" s="1"/>
  <c r="G8" i="27"/>
  <c r="E28" i="27"/>
  <c r="H28" i="27" s="1"/>
  <c r="I28" i="27" s="1"/>
  <c r="F34" i="27"/>
  <c r="H34" i="27" s="1"/>
  <c r="I34" i="27" s="1"/>
  <c r="E31" i="27"/>
  <c r="H31" i="27" s="1"/>
  <c r="I31" i="27" s="1"/>
  <c r="G10" i="27"/>
  <c r="F10" i="27"/>
  <c r="F16" i="27"/>
  <c r="G16" i="27"/>
  <c r="F17" i="27"/>
  <c r="G17" i="27"/>
  <c r="E35" i="27"/>
  <c r="F35" i="27"/>
  <c r="E36" i="27"/>
  <c r="F36" i="27"/>
  <c r="E32" i="27"/>
  <c r="F32" i="27"/>
  <c r="F18" i="27"/>
  <c r="G18" i="27"/>
  <c r="G14" i="27"/>
  <c r="F14" i="27"/>
  <c r="F15" i="27"/>
  <c r="G15" i="27"/>
  <c r="U27" i="23" l="1"/>
  <c r="U47" i="23"/>
  <c r="U28" i="30"/>
  <c r="H11" i="27"/>
  <c r="I11" i="27" s="1"/>
  <c r="H8" i="27"/>
  <c r="I8" i="27" s="1"/>
  <c r="H13" i="27"/>
  <c r="I13" i="27" s="1"/>
  <c r="H12" i="27"/>
  <c r="I12" i="27" s="1"/>
  <c r="H35" i="27"/>
  <c r="I35" i="27" s="1"/>
  <c r="H10" i="27"/>
  <c r="I10" i="27" s="1"/>
  <c r="H17" i="27"/>
  <c r="I17" i="27" s="1"/>
  <c r="H16" i="27"/>
  <c r="I16" i="27" s="1"/>
  <c r="H32" i="27"/>
  <c r="I32" i="27" s="1"/>
  <c r="H18" i="27"/>
  <c r="I18" i="27" s="1"/>
  <c r="H36" i="27"/>
  <c r="I36" i="27" s="1"/>
  <c r="H14" i="27"/>
  <c r="I14" i="27" s="1"/>
  <c r="H15" i="27"/>
  <c r="I15" i="27" s="1"/>
  <c r="I39" i="27" l="1"/>
  <c r="I19" i="27"/>
  <c r="M26" i="27" l="1"/>
  <c r="J4" i="31" l="1"/>
</calcChain>
</file>

<file path=xl/comments1.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Optimal Order Quantity</t>
        </r>
      </text>
    </comment>
    <comment ref="E7" authorId="0">
      <text>
        <r>
          <rPr>
            <b/>
            <sz val="9"/>
            <color indexed="81"/>
            <rFont val="Tahoma"/>
            <family val="2"/>
          </rPr>
          <t>Author:</t>
        </r>
        <r>
          <rPr>
            <sz val="9"/>
            <color indexed="81"/>
            <rFont val="Tahoma"/>
            <family val="2"/>
          </rPr>
          <t xml:space="preserve">
Demand * Selling Price</t>
        </r>
      </text>
    </comment>
    <comment ref="F7" authorId="0">
      <text>
        <r>
          <rPr>
            <b/>
            <sz val="9"/>
            <color indexed="81"/>
            <rFont val="Tahoma"/>
            <family val="2"/>
          </rPr>
          <t>Author:</t>
        </r>
        <r>
          <rPr>
            <sz val="9"/>
            <color indexed="81"/>
            <rFont val="Tahoma"/>
            <family val="2"/>
          </rPr>
          <t xml:space="preserve">
Excess Inventory (Order quanity - Demand) * Salvage value</t>
        </r>
      </text>
    </comment>
    <comment ref="G7" authorId="0">
      <text>
        <r>
          <rPr>
            <b/>
            <sz val="9"/>
            <color indexed="81"/>
            <rFont val="Tahoma"/>
            <family val="2"/>
          </rPr>
          <t>Author:</t>
        </r>
        <r>
          <rPr>
            <sz val="9"/>
            <color indexed="81"/>
            <rFont val="Tahoma"/>
            <family val="2"/>
          </rPr>
          <t xml:space="preserve">
Quantity Ordered * Purchase Price</t>
        </r>
      </text>
    </comment>
    <comment ref="H7" authorId="0">
      <text>
        <r>
          <rPr>
            <b/>
            <sz val="9"/>
            <color indexed="81"/>
            <rFont val="Tahoma"/>
            <family val="2"/>
          </rPr>
          <t>Author:</t>
        </r>
        <r>
          <rPr>
            <sz val="9"/>
            <color indexed="81"/>
            <rFont val="Tahoma"/>
            <family val="2"/>
          </rPr>
          <t xml:space="preserve">
Revenue - Cost</t>
        </r>
      </text>
    </comment>
    <comment ref="I7" authorId="0">
      <text>
        <r>
          <rPr>
            <b/>
            <sz val="9"/>
            <color indexed="81"/>
            <rFont val="Tahoma"/>
            <family val="2"/>
          </rPr>
          <t>Author:</t>
        </r>
        <r>
          <rPr>
            <sz val="9"/>
            <color indexed="81"/>
            <rFont val="Tahoma"/>
            <family val="2"/>
          </rPr>
          <t xml:space="preserve">
Profit * Probability of occurrence of the scenario</t>
        </r>
      </text>
    </comment>
    <comment ref="D27" authorId="0">
      <text>
        <r>
          <rPr>
            <b/>
            <sz val="9"/>
            <color indexed="81"/>
            <rFont val="Tahoma"/>
            <family val="2"/>
          </rPr>
          <t>Author:</t>
        </r>
        <r>
          <rPr>
            <sz val="9"/>
            <color indexed="81"/>
            <rFont val="Tahoma"/>
            <family val="2"/>
          </rPr>
          <t xml:space="preserve">
Optimal Order Quantity</t>
        </r>
      </text>
    </comment>
    <comment ref="E27" authorId="0">
      <text>
        <r>
          <rPr>
            <b/>
            <sz val="9"/>
            <color indexed="81"/>
            <rFont val="Tahoma"/>
            <family val="2"/>
          </rPr>
          <t>Author:</t>
        </r>
        <r>
          <rPr>
            <sz val="9"/>
            <color indexed="81"/>
            <rFont val="Tahoma"/>
            <family val="2"/>
          </rPr>
          <t xml:space="preserve">
Demand * Selling Price</t>
        </r>
      </text>
    </comment>
    <comment ref="H27" authorId="0">
      <text>
        <r>
          <rPr>
            <b/>
            <sz val="9"/>
            <color indexed="81"/>
            <rFont val="Tahoma"/>
            <family val="2"/>
          </rPr>
          <t>Author:</t>
        </r>
        <r>
          <rPr>
            <sz val="9"/>
            <color indexed="81"/>
            <rFont val="Tahoma"/>
            <family val="2"/>
          </rPr>
          <t xml:space="preserve">
Revenue - Cost</t>
        </r>
      </text>
    </comment>
    <comment ref="I27" authorId="0">
      <text>
        <r>
          <rPr>
            <b/>
            <sz val="9"/>
            <color indexed="81"/>
            <rFont val="Tahoma"/>
            <family val="2"/>
          </rPr>
          <t>Author:</t>
        </r>
        <r>
          <rPr>
            <sz val="9"/>
            <color indexed="81"/>
            <rFont val="Tahoma"/>
            <family val="2"/>
          </rPr>
          <t xml:space="preserve">
Profit * Probability of occurrence of the scenario</t>
        </r>
      </text>
    </comment>
  </commentList>
</comments>
</file>

<file path=xl/comments2.xml><?xml version="1.0" encoding="utf-8"?>
<comments xmlns="http://schemas.openxmlformats.org/spreadsheetml/2006/main">
  <authors>
    <author>Author</author>
  </authors>
  <commentList>
    <comment ref="E4" authorId="0">
      <text>
        <r>
          <rPr>
            <b/>
            <sz val="9"/>
            <color indexed="81"/>
            <rFont val="Tahoma"/>
            <family val="2"/>
          </rPr>
          <t>Author:</t>
        </r>
        <r>
          <rPr>
            <sz val="9"/>
            <color indexed="81"/>
            <rFont val="Tahoma"/>
            <family val="2"/>
          </rPr>
          <t xml:space="preserve">
From the cumulative probability table</t>
        </r>
      </text>
    </comment>
  </commentList>
</comments>
</file>

<file path=xl/comments3.xml><?xml version="1.0" encoding="utf-8"?>
<comments xmlns="http://schemas.openxmlformats.org/spreadsheetml/2006/main">
  <authors>
    <author>Author</author>
  </authors>
  <commentList>
    <comment ref="P16" authorId="0">
      <text>
        <r>
          <rPr>
            <b/>
            <sz val="9"/>
            <color indexed="81"/>
            <rFont val="Tahoma"/>
            <family val="2"/>
          </rPr>
          <t>Author:</t>
        </r>
        <r>
          <rPr>
            <sz val="9"/>
            <color indexed="81"/>
            <rFont val="Tahoma"/>
            <family val="2"/>
          </rPr>
          <t xml:space="preserve">
Optimal Order Quantity</t>
        </r>
      </text>
    </comment>
    <comment ref="Q16" authorId="0">
      <text>
        <r>
          <rPr>
            <b/>
            <sz val="9"/>
            <color indexed="81"/>
            <rFont val="Tahoma"/>
            <family val="2"/>
          </rPr>
          <t>Author:</t>
        </r>
        <r>
          <rPr>
            <sz val="9"/>
            <color indexed="81"/>
            <rFont val="Tahoma"/>
            <family val="2"/>
          </rPr>
          <t xml:space="preserve">
Demand * Selling Price</t>
        </r>
      </text>
    </comment>
    <comment ref="U37" authorId="0">
      <text>
        <r>
          <rPr>
            <b/>
            <sz val="9"/>
            <color indexed="81"/>
            <rFont val="Tahoma"/>
            <family val="2"/>
          </rPr>
          <t>Author:</t>
        </r>
        <r>
          <rPr>
            <sz val="9"/>
            <color indexed="81"/>
            <rFont val="Tahoma"/>
            <family val="2"/>
          </rPr>
          <t xml:space="preserve">
Revenue - Cost</t>
        </r>
      </text>
    </comment>
    <comment ref="V37" authorId="0">
      <text>
        <r>
          <rPr>
            <b/>
            <sz val="9"/>
            <color indexed="81"/>
            <rFont val="Tahoma"/>
            <family val="2"/>
          </rPr>
          <t>Author:</t>
        </r>
        <r>
          <rPr>
            <sz val="9"/>
            <color indexed="81"/>
            <rFont val="Tahoma"/>
            <family val="2"/>
          </rPr>
          <t xml:space="preserve">
Profit * Probability of occurrence of the scenario</t>
        </r>
      </text>
    </comment>
  </commentList>
</comments>
</file>

<file path=xl/comments4.xml><?xml version="1.0" encoding="utf-8"?>
<comments xmlns="http://schemas.openxmlformats.org/spreadsheetml/2006/main">
  <authors>
    <author>Author</author>
  </authors>
  <commentList>
    <comment ref="E4" authorId="0">
      <text>
        <r>
          <rPr>
            <b/>
            <sz val="9"/>
            <color indexed="81"/>
            <rFont val="Tahoma"/>
            <family val="2"/>
          </rPr>
          <t>Author:</t>
        </r>
        <r>
          <rPr>
            <sz val="9"/>
            <color indexed="81"/>
            <rFont val="Tahoma"/>
            <family val="2"/>
          </rPr>
          <t xml:space="preserve">
From the cumulative probability table</t>
        </r>
      </text>
    </comment>
  </commentList>
</comments>
</file>

<file path=xl/comments5.xml><?xml version="1.0" encoding="utf-8"?>
<comments xmlns="http://schemas.openxmlformats.org/spreadsheetml/2006/main">
  <authors>
    <author>Author</author>
  </authors>
  <commentList>
    <comment ref="P15" authorId="0">
      <text>
        <r>
          <rPr>
            <b/>
            <sz val="9"/>
            <color indexed="81"/>
            <rFont val="Tahoma"/>
            <family val="2"/>
          </rPr>
          <t>Author:</t>
        </r>
        <r>
          <rPr>
            <sz val="9"/>
            <color indexed="81"/>
            <rFont val="Tahoma"/>
            <family val="2"/>
          </rPr>
          <t xml:space="preserve">
Optimal Order Quantity</t>
        </r>
      </text>
    </comment>
    <comment ref="Q15" authorId="0">
      <text>
        <r>
          <rPr>
            <b/>
            <sz val="9"/>
            <color indexed="81"/>
            <rFont val="Tahoma"/>
            <family val="2"/>
          </rPr>
          <t>Author:</t>
        </r>
        <r>
          <rPr>
            <sz val="9"/>
            <color indexed="81"/>
            <rFont val="Tahoma"/>
            <family val="2"/>
          </rPr>
          <t xml:space="preserve">
Demand * Selling Price</t>
        </r>
      </text>
    </comment>
    <comment ref="R15" authorId="0">
      <text>
        <r>
          <rPr>
            <b/>
            <sz val="9"/>
            <color indexed="81"/>
            <rFont val="Tahoma"/>
            <family val="2"/>
          </rPr>
          <t>Author:</t>
        </r>
        <r>
          <rPr>
            <sz val="9"/>
            <color indexed="81"/>
            <rFont val="Tahoma"/>
            <family val="2"/>
          </rPr>
          <t xml:space="preserve">
Excess Inventory (Order quanity - Demand) * Salvage value</t>
        </r>
      </text>
    </comment>
    <comment ref="S15" authorId="0">
      <text>
        <r>
          <rPr>
            <b/>
            <sz val="9"/>
            <color indexed="81"/>
            <rFont val="Tahoma"/>
            <family val="2"/>
          </rPr>
          <t>Author:</t>
        </r>
        <r>
          <rPr>
            <sz val="9"/>
            <color indexed="81"/>
            <rFont val="Tahoma"/>
            <family val="2"/>
          </rPr>
          <t xml:space="preserve">
Quantity Ordered * Purchase Price</t>
        </r>
      </text>
    </comment>
    <comment ref="T15" authorId="0">
      <text>
        <r>
          <rPr>
            <b/>
            <sz val="9"/>
            <color indexed="81"/>
            <rFont val="Tahoma"/>
            <family val="2"/>
          </rPr>
          <t>Author:</t>
        </r>
        <r>
          <rPr>
            <sz val="9"/>
            <color indexed="81"/>
            <rFont val="Tahoma"/>
            <family val="2"/>
          </rPr>
          <t xml:space="preserve">
Revenue - Cost</t>
        </r>
      </text>
    </comment>
    <comment ref="U15" authorId="0">
      <text>
        <r>
          <rPr>
            <b/>
            <sz val="9"/>
            <color indexed="81"/>
            <rFont val="Tahoma"/>
            <family val="2"/>
          </rPr>
          <t>Author:</t>
        </r>
        <r>
          <rPr>
            <sz val="9"/>
            <color indexed="81"/>
            <rFont val="Tahoma"/>
            <family val="2"/>
          </rPr>
          <t xml:space="preserve">
Profit * Probability of occurrence of the scenario</t>
        </r>
      </text>
    </comment>
    <comment ref="P35" authorId="0">
      <text>
        <r>
          <rPr>
            <b/>
            <sz val="9"/>
            <color indexed="81"/>
            <rFont val="Tahoma"/>
            <family val="2"/>
          </rPr>
          <t>Author:</t>
        </r>
        <r>
          <rPr>
            <sz val="9"/>
            <color indexed="81"/>
            <rFont val="Tahoma"/>
            <family val="2"/>
          </rPr>
          <t xml:space="preserve">
Optimal Order Quantity</t>
        </r>
      </text>
    </comment>
    <comment ref="Q35" authorId="0">
      <text>
        <r>
          <rPr>
            <b/>
            <sz val="9"/>
            <color indexed="81"/>
            <rFont val="Tahoma"/>
            <family val="2"/>
          </rPr>
          <t>Author:</t>
        </r>
        <r>
          <rPr>
            <sz val="9"/>
            <color indexed="81"/>
            <rFont val="Tahoma"/>
            <family val="2"/>
          </rPr>
          <t xml:space="preserve">
Demand * Selling Price</t>
        </r>
      </text>
    </comment>
    <comment ref="U35" authorId="0">
      <text>
        <r>
          <rPr>
            <b/>
            <sz val="9"/>
            <color indexed="81"/>
            <rFont val="Tahoma"/>
            <family val="2"/>
          </rPr>
          <t>Author:</t>
        </r>
        <r>
          <rPr>
            <sz val="9"/>
            <color indexed="81"/>
            <rFont val="Tahoma"/>
            <family val="2"/>
          </rPr>
          <t xml:space="preserve">
Revenue - Cost</t>
        </r>
      </text>
    </comment>
    <comment ref="V35" authorId="0">
      <text>
        <r>
          <rPr>
            <b/>
            <sz val="9"/>
            <color indexed="81"/>
            <rFont val="Tahoma"/>
            <family val="2"/>
          </rPr>
          <t>Author:</t>
        </r>
        <r>
          <rPr>
            <sz val="9"/>
            <color indexed="81"/>
            <rFont val="Tahoma"/>
            <family val="2"/>
          </rPr>
          <t xml:space="preserve">
Profit * Probability of occurrence of the scenario</t>
        </r>
      </text>
    </comment>
  </commentList>
</comments>
</file>

<file path=xl/sharedStrings.xml><?xml version="1.0" encoding="utf-8"?>
<sst xmlns="http://schemas.openxmlformats.org/spreadsheetml/2006/main" count="215" uniqueCount="75">
  <si>
    <t>Scenario</t>
  </si>
  <si>
    <t>Total Supply Chain Profit</t>
  </si>
  <si>
    <t>Cost</t>
  </si>
  <si>
    <t>Profit</t>
  </si>
  <si>
    <t>Demand</t>
  </si>
  <si>
    <t>Probability</t>
  </si>
  <si>
    <t>Selling Price</t>
  </si>
  <si>
    <t>Expected Profit</t>
  </si>
  <si>
    <t>Buy Back Price</t>
  </si>
  <si>
    <t>Purchase Price</t>
  </si>
  <si>
    <t>Fixed Cost</t>
  </si>
  <si>
    <t>Revenue Share</t>
  </si>
  <si>
    <t>Jackets</t>
  </si>
  <si>
    <t>Pants</t>
  </si>
  <si>
    <t>Shells</t>
  </si>
  <si>
    <t>Vests</t>
  </si>
  <si>
    <t>Sweaters</t>
  </si>
  <si>
    <t>Other Accessories</t>
  </si>
  <si>
    <t>Product</t>
  </si>
  <si>
    <t>Marginal Benefit</t>
  </si>
  <si>
    <t>Marginal Cost</t>
  </si>
  <si>
    <t>Salvage Value</t>
  </si>
  <si>
    <t>Service Level</t>
  </si>
  <si>
    <t>SkiRetail</t>
  </si>
  <si>
    <t>Year</t>
  </si>
  <si>
    <t>Sales</t>
  </si>
  <si>
    <t>Frequency Table</t>
  </si>
  <si>
    <t>Units Sold</t>
  </si>
  <si>
    <t>Frequency</t>
  </si>
  <si>
    <t>Cumulative Probability</t>
  </si>
  <si>
    <t>Optimal Order Quantity</t>
  </si>
  <si>
    <t>The optimal order quantity corresponds to the minimum quantity that meets the desired service level. Hence the optimal order quantity is the one that corresponds to Cumulative Probability = Service Level or the quantity corresponding to next highest value of cumulative probabililty than the service level.</t>
  </si>
  <si>
    <t>Quantity Ordered</t>
  </si>
  <si>
    <t>Revenue from Sales</t>
  </si>
  <si>
    <t xml:space="preserve">Revenue from discount sales </t>
  </si>
  <si>
    <t>Variable Cost</t>
  </si>
  <si>
    <t>Skiekz</t>
  </si>
  <si>
    <t>The following frequency table is constructed from the observed demand data in the case.</t>
  </si>
  <si>
    <t>The total expected profit for SkiRetail is</t>
  </si>
  <si>
    <t>Variable cost of production</t>
  </si>
  <si>
    <t>Fixed cost of production</t>
  </si>
  <si>
    <t>The total expected profit for Skiekz is</t>
  </si>
  <si>
    <t>Total Supply Chain profit is the sum of the profits of the individual entities in the supply chain. Hence, the total expected supply chain profit is the sum of the profits of SkiRetail and Skiekz</t>
  </si>
  <si>
    <t>Total Expected Supply Chain Profit</t>
  </si>
  <si>
    <t>Sale Price</t>
  </si>
  <si>
    <t>Production cost (variable)</t>
  </si>
  <si>
    <t>Fixed cost</t>
  </si>
  <si>
    <t>Optimal Quantity</t>
  </si>
  <si>
    <t>Given the new optimal quantity, the expected profits for SkiRetail and Skiekz are calculated below</t>
  </si>
  <si>
    <t>Minimum</t>
  </si>
  <si>
    <t>Maximum</t>
  </si>
  <si>
    <t>Range for Buy Back price</t>
  </si>
  <si>
    <t>SkiRetail Expected Profits</t>
  </si>
  <si>
    <t>Skiekz Expected Profit</t>
  </si>
  <si>
    <t>Sl No</t>
  </si>
  <si>
    <t>Cost of Buy Back</t>
  </si>
  <si>
    <t>Example: Scenario 1</t>
  </si>
  <si>
    <t>RANGE OF NEGOTIATION</t>
  </si>
  <si>
    <t>Range for reduced sale price for Skiekz</t>
  </si>
  <si>
    <t>SkiEkz Sale Price</t>
  </si>
  <si>
    <t>Revenue Share Cost</t>
  </si>
  <si>
    <t>Purchase Cost</t>
  </si>
  <si>
    <t>Revenue from Discount Sales</t>
  </si>
  <si>
    <t xml:space="preserve">Revenue from Revenue Share </t>
  </si>
  <si>
    <t>The total expected profit for the supply chain is</t>
  </si>
  <si>
    <t>Revenue from Sale to discount retailers</t>
  </si>
  <si>
    <t>Global Optimization Profit with salvage value</t>
  </si>
  <si>
    <t>Uncoordinated supply chain Profits</t>
  </si>
  <si>
    <t>Global Optimization Profit without salvage value</t>
  </si>
  <si>
    <t>MB</t>
  </si>
  <si>
    <t>MC</t>
  </si>
  <si>
    <t>SL</t>
  </si>
  <si>
    <t>Order Qty</t>
  </si>
  <si>
    <t>Change only the Skiekz sale price below to observe different scenarios</t>
  </si>
  <si>
    <t>Skiekz Sale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</si>
</sst>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Red]\-&quot;$&quot;#,##0.00"/>
    <numFmt numFmtId="44" formatCode="_-&quot;$&quot;* #,##0.00_-;\-&quot;$&quot;* #,##0.00_-;_-&quot;$&quot;* &quot;-&quot;??_-;_-@_-"/>
  </numFmts>
  <fonts count="12" x14ac:knownFonts="1">
    <font>
      <sz val="11"/>
      <color theme="1"/>
      <name val="Calibri"/>
      <family val="2"/>
      <scheme val="minor"/>
    </font>
    <font>
      <sz val="11"/>
      <color theme="1"/>
      <name val="Calibri"/>
      <family val="2"/>
      <scheme val="minor"/>
    </font>
    <font>
      <sz val="12"/>
      <color theme="1"/>
      <name val="Times New Roman"/>
      <family val="1"/>
    </font>
    <font>
      <sz val="9"/>
      <color indexed="81"/>
      <name val="Tahoma"/>
      <family val="2"/>
    </font>
    <font>
      <b/>
      <sz val="9"/>
      <color indexed="81"/>
      <name val="Tahoma"/>
      <family val="2"/>
    </font>
    <font>
      <b/>
      <i/>
      <sz val="11"/>
      <color theme="1"/>
      <name val="Arial Narrow"/>
      <family val="2"/>
    </font>
    <font>
      <sz val="11"/>
      <color theme="1"/>
      <name val="Arial Narrow"/>
      <family val="2"/>
    </font>
    <font>
      <sz val="11"/>
      <name val="Arial Narrow"/>
      <family val="2"/>
    </font>
    <font>
      <b/>
      <sz val="11"/>
      <color theme="1"/>
      <name val="Arial Narrow"/>
      <family val="2"/>
    </font>
    <font>
      <i/>
      <sz val="9"/>
      <color theme="1"/>
      <name val="Arial Narrow"/>
      <family val="2"/>
    </font>
    <font>
      <b/>
      <i/>
      <sz val="9"/>
      <color theme="1"/>
      <name val="Arial Narrow"/>
      <family val="2"/>
    </font>
    <font>
      <i/>
      <sz val="11"/>
      <color theme="1"/>
      <name val="Arial Narrow"/>
      <family val="2"/>
    </font>
  </fonts>
  <fills count="10">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rgb="FF92D050"/>
        <bgColor indexed="64"/>
      </patternFill>
    </fill>
    <fill>
      <patternFill patternType="solid">
        <fgColor rgb="FFFFFF99"/>
        <bgColor indexed="64"/>
      </patternFill>
    </fill>
    <fill>
      <patternFill patternType="solid">
        <fgColor theme="1"/>
        <bgColor indexed="64"/>
      </patternFill>
    </fill>
    <fill>
      <patternFill patternType="solid">
        <fgColor theme="3" tint="0.39997558519241921"/>
        <bgColor indexed="64"/>
      </patternFill>
    </fill>
  </fills>
  <borders count="22">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52">
    <xf numFmtId="0" fontId="0" fillId="0" borderId="0" xfId="0"/>
    <xf numFmtId="0" fontId="2" fillId="0" borderId="0" xfId="0" applyFont="1"/>
    <xf numFmtId="0" fontId="5" fillId="5" borderId="2" xfId="0" applyFont="1" applyFill="1" applyBorder="1"/>
    <xf numFmtId="0" fontId="6" fillId="0" borderId="0" xfId="0" applyFont="1"/>
    <xf numFmtId="0" fontId="6" fillId="4" borderId="2" xfId="0" applyFont="1" applyFill="1" applyBorder="1" applyAlignment="1"/>
    <xf numFmtId="44" fontId="7" fillId="0" borderId="2" xfId="1" applyFont="1" applyFill="1" applyBorder="1" applyAlignment="1">
      <alignment horizontal="center"/>
    </xf>
    <xf numFmtId="0" fontId="6" fillId="0" borderId="2" xfId="0" applyFont="1" applyBorder="1"/>
    <xf numFmtId="0" fontId="6" fillId="3" borderId="2" xfId="0" applyFont="1" applyFill="1" applyBorder="1"/>
    <xf numFmtId="0" fontId="6" fillId="4" borderId="2" xfId="0" applyFont="1" applyFill="1" applyBorder="1"/>
    <xf numFmtId="0" fontId="6" fillId="0" borderId="2" xfId="0" applyFont="1" applyBorder="1" applyAlignment="1">
      <alignment horizontal="left"/>
    </xf>
    <xf numFmtId="0" fontId="5" fillId="0" borderId="0" xfId="0" applyFont="1"/>
    <xf numFmtId="0" fontId="7" fillId="4" borderId="2" xfId="0" applyFont="1" applyFill="1" applyBorder="1"/>
    <xf numFmtId="10" fontId="6" fillId="0" borderId="2" xfId="2" applyNumberFormat="1" applyFont="1" applyBorder="1"/>
    <xf numFmtId="10" fontId="6" fillId="0" borderId="2" xfId="0" applyNumberFormat="1" applyFont="1" applyBorder="1"/>
    <xf numFmtId="0" fontId="6" fillId="0" borderId="0" xfId="0" applyFont="1" applyAlignment="1">
      <alignment horizontal="center"/>
    </xf>
    <xf numFmtId="44" fontId="6" fillId="0" borderId="2" xfId="0" applyNumberFormat="1" applyFont="1" applyFill="1" applyBorder="1" applyAlignment="1">
      <alignment horizontal="left"/>
    </xf>
    <xf numFmtId="0" fontId="8" fillId="0" borderId="0" xfId="0" applyFont="1" applyFill="1" applyAlignment="1">
      <alignment horizontal="left"/>
    </xf>
    <xf numFmtId="0" fontId="5" fillId="0" borderId="2" xfId="0" applyFont="1" applyBorder="1"/>
    <xf numFmtId="0" fontId="8" fillId="0" borderId="2" xfId="0" applyFont="1" applyBorder="1"/>
    <xf numFmtId="44" fontId="6" fillId="0" borderId="2" xfId="0" applyNumberFormat="1" applyFont="1" applyBorder="1" applyAlignment="1">
      <alignment horizontal="center"/>
    </xf>
    <xf numFmtId="0" fontId="6" fillId="0" borderId="0" xfId="0" applyFont="1" applyBorder="1" applyAlignment="1">
      <alignment horizontal="center"/>
    </xf>
    <xf numFmtId="0" fontId="6" fillId="4" borderId="2" xfId="0" applyFont="1" applyFill="1" applyBorder="1" applyAlignment="1">
      <alignment wrapText="1"/>
    </xf>
    <xf numFmtId="44" fontId="6" fillId="0" borderId="2" xfId="0" applyNumberFormat="1" applyFont="1" applyBorder="1"/>
    <xf numFmtId="44" fontId="6" fillId="0" borderId="2" xfId="1" applyFont="1" applyBorder="1"/>
    <xf numFmtId="44" fontId="8" fillId="4" borderId="2" xfId="0" applyNumberFormat="1" applyFont="1" applyFill="1" applyBorder="1"/>
    <xf numFmtId="44" fontId="8" fillId="2" borderId="2" xfId="0" applyNumberFormat="1" applyFont="1" applyFill="1" applyBorder="1"/>
    <xf numFmtId="0" fontId="6" fillId="3" borderId="2" xfId="0" applyFont="1" applyFill="1" applyBorder="1" applyAlignment="1">
      <alignment wrapText="1"/>
    </xf>
    <xf numFmtId="10" fontId="8" fillId="0" borderId="2" xfId="2" applyNumberFormat="1" applyFont="1" applyBorder="1"/>
    <xf numFmtId="0" fontId="8" fillId="2" borderId="2" xfId="0" applyFont="1" applyFill="1" applyBorder="1"/>
    <xf numFmtId="44" fontId="8" fillId="6" borderId="2" xfId="0" applyNumberFormat="1" applyFont="1" applyFill="1" applyBorder="1"/>
    <xf numFmtId="10" fontId="6" fillId="0" borderId="0" xfId="0" applyNumberFormat="1" applyFont="1"/>
    <xf numFmtId="10" fontId="6" fillId="0" borderId="3" xfId="2" applyNumberFormat="1" applyFont="1" applyBorder="1"/>
    <xf numFmtId="0" fontId="6" fillId="0" borderId="0" xfId="0" applyFont="1" applyFill="1" applyBorder="1" applyAlignment="1">
      <alignment horizontal="center" vertical="center"/>
    </xf>
    <xf numFmtId="0" fontId="6" fillId="0" borderId="0" xfId="0" applyFont="1" applyAlignment="1">
      <alignment horizontal="center" vertical="center"/>
    </xf>
    <xf numFmtId="9" fontId="6" fillId="0" borderId="2" xfId="0" applyNumberFormat="1" applyFont="1" applyBorder="1"/>
    <xf numFmtId="10" fontId="6" fillId="0" borderId="2" xfId="0" applyNumberFormat="1" applyFont="1" applyBorder="1" applyProtection="1"/>
    <xf numFmtId="0" fontId="6" fillId="0" borderId="2" xfId="0" applyFont="1" applyBorder="1" applyProtection="1"/>
    <xf numFmtId="44" fontId="8" fillId="0" borderId="2" xfId="1" applyFont="1" applyBorder="1"/>
    <xf numFmtId="0" fontId="8" fillId="3" borderId="2" xfId="0" applyFont="1" applyFill="1" applyBorder="1" applyAlignment="1">
      <alignment wrapText="1"/>
    </xf>
    <xf numFmtId="0" fontId="6" fillId="3" borderId="4" xfId="0" applyFont="1" applyFill="1" applyBorder="1" applyAlignment="1">
      <alignment wrapText="1"/>
    </xf>
    <xf numFmtId="0" fontId="6" fillId="0" borderId="0" xfId="0" applyFont="1" applyBorder="1"/>
    <xf numFmtId="10" fontId="9" fillId="8" borderId="2" xfId="2" applyNumberFormat="1" applyFont="1" applyFill="1" applyBorder="1" applyAlignment="1" applyProtection="1">
      <alignment horizontal="center"/>
      <protection hidden="1"/>
    </xf>
    <xf numFmtId="10" fontId="10" fillId="8" borderId="2" xfId="0" applyNumberFormat="1" applyFont="1" applyFill="1" applyBorder="1" applyAlignment="1" applyProtection="1">
      <alignment horizontal="center"/>
      <protection hidden="1"/>
    </xf>
    <xf numFmtId="10" fontId="9" fillId="8" borderId="2" xfId="2" applyNumberFormat="1" applyFont="1" applyFill="1" applyBorder="1" applyAlignment="1">
      <alignment horizontal="center"/>
    </xf>
    <xf numFmtId="0" fontId="6" fillId="9" borderId="2" xfId="0" applyFont="1" applyFill="1" applyBorder="1"/>
    <xf numFmtId="0" fontId="6" fillId="0" borderId="0" xfId="0" applyFont="1" applyFill="1" applyBorder="1"/>
    <xf numFmtId="44" fontId="6" fillId="0" borderId="0" xfId="0" applyNumberFormat="1" applyFont="1" applyFill="1" applyBorder="1" applyAlignment="1">
      <alignment horizontal="left"/>
    </xf>
    <xf numFmtId="0" fontId="5" fillId="0" borderId="0" xfId="0" applyFont="1" applyBorder="1"/>
    <xf numFmtId="0" fontId="7" fillId="4" borderId="2" xfId="0" applyFont="1" applyFill="1" applyBorder="1" applyAlignment="1">
      <alignment horizontal="center" vertical="center"/>
    </xf>
    <xf numFmtId="10" fontId="6" fillId="0" borderId="2" xfId="0" applyNumberFormat="1" applyFont="1" applyBorder="1" applyAlignment="1" applyProtection="1">
      <alignment horizontal="center" vertical="center"/>
    </xf>
    <xf numFmtId="0" fontId="6" fillId="0" borderId="2" xfId="0" applyFont="1" applyBorder="1" applyAlignment="1" applyProtection="1">
      <alignment horizontal="center" vertical="center"/>
    </xf>
    <xf numFmtId="0" fontId="8" fillId="0" borderId="0" xfId="0" applyFont="1" applyFill="1" applyBorder="1" applyAlignment="1">
      <alignment vertical="center" textRotation="90"/>
    </xf>
    <xf numFmtId="8" fontId="6" fillId="0" borderId="2" xfId="1" applyNumberFormat="1" applyFont="1" applyBorder="1"/>
    <xf numFmtId="8" fontId="6" fillId="0" borderId="2" xfId="0" applyNumberFormat="1" applyFont="1" applyBorder="1"/>
    <xf numFmtId="8" fontId="6" fillId="0" borderId="2" xfId="1" applyNumberFormat="1" applyFont="1" applyFill="1" applyBorder="1"/>
    <xf numFmtId="8" fontId="6" fillId="0" borderId="2" xfId="0" applyNumberFormat="1" applyFont="1" applyFill="1" applyBorder="1"/>
    <xf numFmtId="44" fontId="6" fillId="2" borderId="2" xfId="1" applyFont="1" applyFill="1" applyBorder="1"/>
    <xf numFmtId="44" fontId="6" fillId="2" borderId="2" xfId="0" applyNumberFormat="1" applyFont="1" applyFill="1" applyBorder="1"/>
    <xf numFmtId="10" fontId="6" fillId="2" borderId="2" xfId="2" applyNumberFormat="1" applyFont="1" applyFill="1" applyBorder="1"/>
    <xf numFmtId="8" fontId="6" fillId="2" borderId="2" xfId="1" applyNumberFormat="1" applyFont="1" applyFill="1" applyBorder="1"/>
    <xf numFmtId="8" fontId="6" fillId="2" borderId="2" xfId="0" applyNumberFormat="1" applyFont="1" applyFill="1" applyBorder="1"/>
    <xf numFmtId="44" fontId="6" fillId="0" borderId="2" xfId="1" applyFont="1" applyFill="1" applyBorder="1"/>
    <xf numFmtId="44" fontId="6" fillId="0" borderId="2" xfId="0" applyNumberFormat="1" applyFont="1" applyFill="1" applyBorder="1"/>
    <xf numFmtId="10" fontId="6" fillId="0" borderId="2" xfId="2" applyNumberFormat="1" applyFont="1" applyFill="1" applyBorder="1"/>
    <xf numFmtId="0" fontId="6" fillId="0" borderId="2" xfId="0" applyFont="1" applyFill="1" applyBorder="1"/>
    <xf numFmtId="44" fontId="6" fillId="0" borderId="14" xfId="1" applyFont="1" applyBorder="1"/>
    <xf numFmtId="44" fontId="6" fillId="0" borderId="14" xfId="0" applyNumberFormat="1" applyFont="1" applyBorder="1"/>
    <xf numFmtId="10" fontId="6" fillId="0" borderId="14" xfId="2" applyNumberFormat="1" applyFont="1" applyBorder="1"/>
    <xf numFmtId="8" fontId="6" fillId="0" borderId="14" xfId="1" applyNumberFormat="1" applyFont="1" applyBorder="1"/>
    <xf numFmtId="8" fontId="6" fillId="0" borderId="14" xfId="0" applyNumberFormat="1" applyFont="1" applyBorder="1"/>
    <xf numFmtId="8" fontId="6" fillId="0" borderId="14" xfId="1" applyNumberFormat="1" applyFont="1" applyFill="1" applyBorder="1"/>
    <xf numFmtId="8" fontId="6" fillId="0" borderId="5" xfId="1" applyNumberFormat="1" applyFont="1" applyFill="1" applyBorder="1"/>
    <xf numFmtId="8" fontId="6" fillId="0" borderId="14" xfId="0" applyNumberFormat="1" applyFont="1" applyFill="1" applyBorder="1"/>
    <xf numFmtId="8" fontId="6" fillId="0" borderId="5" xfId="0" applyNumberFormat="1" applyFont="1" applyFill="1" applyBorder="1"/>
    <xf numFmtId="44" fontId="6" fillId="7" borderId="6" xfId="0" applyNumberFormat="1" applyFont="1" applyFill="1" applyBorder="1"/>
    <xf numFmtId="10" fontId="6" fillId="7" borderId="6" xfId="2" applyNumberFormat="1" applyFont="1" applyFill="1" applyBorder="1"/>
    <xf numFmtId="8" fontId="6" fillId="7" borderId="6" xfId="1" applyNumberFormat="1" applyFont="1" applyFill="1" applyBorder="1"/>
    <xf numFmtId="8" fontId="6" fillId="7" borderId="7" xfId="0" applyNumberFormat="1" applyFont="1" applyFill="1" applyBorder="1"/>
    <xf numFmtId="44" fontId="6" fillId="7" borderId="2" xfId="0" applyNumberFormat="1" applyFont="1" applyFill="1" applyBorder="1"/>
    <xf numFmtId="10" fontId="6" fillId="7" borderId="2" xfId="2" applyNumberFormat="1" applyFont="1" applyFill="1" applyBorder="1"/>
    <xf numFmtId="8" fontId="6" fillId="7" borderId="2" xfId="1" applyNumberFormat="1" applyFont="1" applyFill="1" applyBorder="1"/>
    <xf numFmtId="8" fontId="6" fillId="7" borderId="9" xfId="0" applyNumberFormat="1" applyFont="1" applyFill="1" applyBorder="1"/>
    <xf numFmtId="44" fontId="6" fillId="7" borderId="11" xfId="0" applyNumberFormat="1" applyFont="1" applyFill="1" applyBorder="1"/>
    <xf numFmtId="10" fontId="6" fillId="7" borderId="11" xfId="2" applyNumberFormat="1" applyFont="1" applyFill="1" applyBorder="1"/>
    <xf numFmtId="8" fontId="6" fillId="7" borderId="11" xfId="1" applyNumberFormat="1" applyFont="1" applyFill="1" applyBorder="1"/>
    <xf numFmtId="8" fontId="6" fillId="7" borderId="12" xfId="0" applyNumberFormat="1" applyFont="1" applyFill="1" applyBorder="1"/>
    <xf numFmtId="0" fontId="6" fillId="0" borderId="14" xfId="0" applyFont="1" applyFill="1" applyBorder="1"/>
    <xf numFmtId="44" fontId="6" fillId="0" borderId="14" xfId="1" applyFont="1" applyFill="1" applyBorder="1"/>
    <xf numFmtId="44" fontId="6" fillId="0" borderId="14" xfId="0" applyNumberFormat="1" applyFont="1" applyFill="1" applyBorder="1"/>
    <xf numFmtId="10" fontId="6" fillId="0" borderId="14" xfId="2" applyNumberFormat="1" applyFont="1" applyFill="1" applyBorder="1"/>
    <xf numFmtId="0" fontId="6" fillId="0" borderId="5" xfId="0" applyFont="1" applyFill="1" applyBorder="1"/>
    <xf numFmtId="44" fontId="6" fillId="0" borderId="5" xfId="1" applyFont="1" applyFill="1" applyBorder="1"/>
    <xf numFmtId="44" fontId="6" fillId="0" borderId="5" xfId="0" applyNumberFormat="1" applyFont="1" applyFill="1" applyBorder="1"/>
    <xf numFmtId="10" fontId="6" fillId="0" borderId="5" xfId="2" applyNumberFormat="1" applyFont="1" applyFill="1" applyBorder="1"/>
    <xf numFmtId="44" fontId="6" fillId="0" borderId="0" xfId="0" applyNumberFormat="1" applyFont="1"/>
    <xf numFmtId="10" fontId="6" fillId="0" borderId="14" xfId="0" applyNumberFormat="1" applyFont="1" applyBorder="1" applyAlignment="1" applyProtection="1">
      <alignment horizontal="center" vertical="center"/>
    </xf>
    <xf numFmtId="44" fontId="6" fillId="0" borderId="0" xfId="1" applyFont="1"/>
    <xf numFmtId="0" fontId="6" fillId="7" borderId="2" xfId="0" applyFont="1" applyFill="1" applyBorder="1"/>
    <xf numFmtId="0" fontId="6" fillId="7" borderId="19" xfId="0" applyFont="1" applyFill="1" applyBorder="1"/>
    <xf numFmtId="0" fontId="6" fillId="7" borderId="20" xfId="0" applyFont="1" applyFill="1" applyBorder="1"/>
    <xf numFmtId="0" fontId="6" fillId="7" borderId="21" xfId="0" applyFont="1" applyFill="1" applyBorder="1"/>
    <xf numFmtId="44" fontId="6" fillId="7" borderId="15" xfId="1" applyFont="1" applyFill="1" applyBorder="1"/>
    <xf numFmtId="0" fontId="6" fillId="7" borderId="6" xfId="0" applyFont="1" applyFill="1" applyBorder="1"/>
    <xf numFmtId="44" fontId="6" fillId="7" borderId="8" xfId="1" applyFont="1" applyFill="1" applyBorder="1"/>
    <xf numFmtId="44" fontId="6" fillId="7" borderId="10" xfId="1" applyFont="1" applyFill="1" applyBorder="1"/>
    <xf numFmtId="0" fontId="6" fillId="7" borderId="11" xfId="0" applyFont="1" applyFill="1" applyBorder="1"/>
    <xf numFmtId="0" fontId="6" fillId="2" borderId="2" xfId="0" applyFont="1" applyFill="1" applyBorder="1"/>
    <xf numFmtId="44" fontId="6" fillId="2" borderId="15" xfId="1" applyFont="1" applyFill="1" applyBorder="1"/>
    <xf numFmtId="44" fontId="6" fillId="2" borderId="6" xfId="0" applyNumberFormat="1" applyFont="1" applyFill="1" applyBorder="1"/>
    <xf numFmtId="10" fontId="6" fillId="2" borderId="6" xfId="2" applyNumberFormat="1" applyFont="1" applyFill="1" applyBorder="1"/>
    <xf numFmtId="0" fontId="6" fillId="2" borderId="6" xfId="0" applyFont="1" applyFill="1" applyBorder="1"/>
    <xf numFmtId="8" fontId="6" fillId="2" borderId="6" xfId="1" applyNumberFormat="1" applyFont="1" applyFill="1" applyBorder="1"/>
    <xf numFmtId="8" fontId="6" fillId="2" borderId="7" xfId="0" applyNumberFormat="1" applyFont="1" applyFill="1" applyBorder="1"/>
    <xf numFmtId="44" fontId="6" fillId="2" borderId="8" xfId="1" applyFont="1" applyFill="1" applyBorder="1"/>
    <xf numFmtId="8" fontId="6" fillId="2" borderId="9" xfId="0" applyNumberFormat="1" applyFont="1" applyFill="1" applyBorder="1"/>
    <xf numFmtId="44" fontId="6" fillId="2" borderId="11" xfId="0" applyNumberFormat="1" applyFont="1" applyFill="1" applyBorder="1"/>
    <xf numFmtId="0" fontId="6" fillId="2" borderId="11" xfId="0" applyFont="1" applyFill="1" applyBorder="1"/>
    <xf numFmtId="0" fontId="6" fillId="0" borderId="14" xfId="0" applyFont="1" applyBorder="1"/>
    <xf numFmtId="0" fontId="6" fillId="0" borderId="5" xfId="0" applyFont="1" applyBorder="1"/>
    <xf numFmtId="44" fontId="6" fillId="2" borderId="10" xfId="1" applyFont="1" applyFill="1" applyBorder="1"/>
    <xf numFmtId="10" fontId="6" fillId="2" borderId="11" xfId="2" applyNumberFormat="1" applyFont="1" applyFill="1" applyBorder="1"/>
    <xf numFmtId="8" fontId="6" fillId="2" borderId="11" xfId="1" applyNumberFormat="1" applyFont="1" applyFill="1" applyBorder="1"/>
    <xf numFmtId="8" fontId="6" fillId="2" borderId="12" xfId="0" applyNumberFormat="1" applyFont="1" applyFill="1" applyBorder="1"/>
    <xf numFmtId="0" fontId="8" fillId="3" borderId="5" xfId="0" applyFont="1" applyFill="1" applyBorder="1" applyAlignment="1">
      <alignment horizontal="center"/>
    </xf>
    <xf numFmtId="0" fontId="5" fillId="0" borderId="2" xfId="0" applyFont="1" applyBorder="1" applyAlignment="1">
      <alignment horizontal="left" vertical="center" wrapText="1"/>
    </xf>
    <xf numFmtId="0" fontId="5" fillId="4" borderId="13" xfId="0" applyFont="1" applyFill="1" applyBorder="1" applyAlignment="1">
      <alignment horizontal="left" vertical="center" wrapText="1"/>
    </xf>
    <xf numFmtId="0" fontId="5" fillId="4" borderId="5" xfId="0" applyFont="1" applyFill="1" applyBorder="1" applyAlignment="1">
      <alignment horizontal="left" vertical="center" wrapText="1"/>
    </xf>
    <xf numFmtId="0" fontId="5" fillId="4" borderId="6" xfId="0" applyFont="1" applyFill="1" applyBorder="1" applyAlignment="1">
      <alignment horizontal="left" vertical="center" wrapText="1"/>
    </xf>
    <xf numFmtId="0" fontId="5" fillId="4" borderId="7" xfId="0" applyFont="1" applyFill="1" applyBorder="1" applyAlignment="1">
      <alignment horizontal="left" vertical="center" wrapText="1"/>
    </xf>
    <xf numFmtId="0" fontId="5" fillId="4" borderId="8" xfId="0" applyFont="1" applyFill="1" applyBorder="1" applyAlignment="1">
      <alignment horizontal="left" vertical="center" wrapText="1"/>
    </xf>
    <xf numFmtId="0" fontId="5" fillId="4" borderId="2" xfId="0" applyFont="1" applyFill="1" applyBorder="1" applyAlignment="1">
      <alignment horizontal="left" vertical="center" wrapText="1"/>
    </xf>
    <xf numFmtId="0" fontId="5" fillId="4" borderId="9" xfId="0" applyFont="1" applyFill="1" applyBorder="1" applyAlignment="1">
      <alignment horizontal="left" vertical="center" wrapText="1"/>
    </xf>
    <xf numFmtId="0" fontId="5" fillId="4" borderId="10" xfId="0" applyFont="1" applyFill="1" applyBorder="1" applyAlignment="1">
      <alignment horizontal="left" vertical="center" wrapText="1"/>
    </xf>
    <xf numFmtId="0" fontId="5" fillId="4" borderId="11" xfId="0" applyFont="1" applyFill="1" applyBorder="1" applyAlignment="1">
      <alignment horizontal="left" vertical="center" wrapText="1"/>
    </xf>
    <xf numFmtId="0" fontId="5" fillId="4" borderId="12" xfId="0" applyFont="1" applyFill="1" applyBorder="1" applyAlignment="1">
      <alignment horizontal="left" vertical="center" wrapText="1"/>
    </xf>
    <xf numFmtId="0" fontId="5" fillId="4" borderId="3" xfId="0" applyFont="1" applyFill="1" applyBorder="1" applyAlignment="1">
      <alignment horizontal="center" vertical="center"/>
    </xf>
    <xf numFmtId="0" fontId="5" fillId="4" borderId="1" xfId="0" applyFont="1" applyFill="1" applyBorder="1" applyAlignment="1">
      <alignment horizontal="center" vertical="center"/>
    </xf>
    <xf numFmtId="0" fontId="5" fillId="4" borderId="4" xfId="0" applyFont="1" applyFill="1" applyBorder="1" applyAlignment="1">
      <alignment horizontal="center" vertical="center"/>
    </xf>
    <xf numFmtId="0" fontId="5" fillId="0" borderId="0" xfId="0" applyFont="1" applyAlignment="1">
      <alignment horizontal="left"/>
    </xf>
    <xf numFmtId="0" fontId="5" fillId="4" borderId="2" xfId="0" applyFont="1" applyFill="1" applyBorder="1" applyAlignment="1">
      <alignment horizontal="center" vertical="center"/>
    </xf>
    <xf numFmtId="0" fontId="6" fillId="0" borderId="2" xfId="0" applyFont="1" applyBorder="1" applyAlignment="1">
      <alignment horizontal="left" wrapText="1"/>
    </xf>
    <xf numFmtId="0" fontId="6" fillId="0" borderId="2" xfId="0" applyFont="1" applyBorder="1" applyAlignment="1">
      <alignment horizontal="left"/>
    </xf>
    <xf numFmtId="0" fontId="6" fillId="3" borderId="2" xfId="0" applyFont="1" applyFill="1" applyBorder="1" applyAlignment="1">
      <alignment horizontal="left" vertical="center" wrapText="1"/>
    </xf>
    <xf numFmtId="0" fontId="8" fillId="3" borderId="3" xfId="0" applyFont="1" applyFill="1" applyBorder="1" applyAlignment="1">
      <alignment horizontal="left" wrapText="1"/>
    </xf>
    <xf numFmtId="0" fontId="8" fillId="3" borderId="4" xfId="0" applyFont="1" applyFill="1" applyBorder="1" applyAlignment="1">
      <alignment horizontal="left" wrapText="1"/>
    </xf>
    <xf numFmtId="44" fontId="8" fillId="4" borderId="2" xfId="0" applyNumberFormat="1" applyFont="1" applyFill="1" applyBorder="1" applyAlignment="1">
      <alignment horizontal="center"/>
    </xf>
    <xf numFmtId="44" fontId="8" fillId="4" borderId="3" xfId="0" applyNumberFormat="1" applyFont="1" applyFill="1" applyBorder="1" applyAlignment="1">
      <alignment horizontal="center"/>
    </xf>
    <xf numFmtId="44" fontId="8" fillId="4" borderId="4" xfId="0" applyNumberFormat="1" applyFont="1" applyFill="1" applyBorder="1" applyAlignment="1">
      <alignment horizontal="center"/>
    </xf>
    <xf numFmtId="0" fontId="11" fillId="0" borderId="2" xfId="0" applyFont="1" applyBorder="1" applyAlignment="1">
      <alignment horizontal="center" vertical="center"/>
    </xf>
    <xf numFmtId="0" fontId="8" fillId="2" borderId="16" xfId="0" applyFont="1" applyFill="1" applyBorder="1" applyAlignment="1">
      <alignment horizontal="center" vertical="center" textRotation="90" wrapText="1"/>
    </xf>
    <xf numFmtId="0" fontId="8" fillId="2" borderId="17" xfId="0" applyFont="1" applyFill="1" applyBorder="1" applyAlignment="1">
      <alignment horizontal="center" vertical="center" textRotation="90" wrapText="1"/>
    </xf>
    <xf numFmtId="0" fontId="8" fillId="2" borderId="18" xfId="0" applyFont="1" applyFill="1" applyBorder="1" applyAlignment="1">
      <alignment horizontal="center" vertical="center" textRotation="90" wrapText="1"/>
    </xf>
  </cellXfs>
  <cellStyles count="3">
    <cellStyle name="Currency" xfId="1" builtinId="4"/>
    <cellStyle name="Normal" xfId="0" builtinId="0"/>
    <cellStyle name="Percent" xfId="2" builtinId="5"/>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CA"/>
  <c:roundedCorners val="0"/>
  <mc:AlternateContent xmlns:mc="http://schemas.openxmlformats.org/markup-compatibility/2006">
    <mc:Choice xmlns:c14="http://schemas.microsoft.com/office/drawing/2007/8/2/chart" Requires="c14">
      <c14:style val="134"/>
    </mc:Choice>
    <mc:Fallback>
      <c:style val="34"/>
    </mc:Fallback>
  </mc:AlternateContent>
  <c:chart>
    <c:title>
      <c:tx>
        <c:rich>
          <a:bodyPr/>
          <a:lstStyle/>
          <a:p>
            <a:pPr>
              <a:defRPr b="1" i="1"/>
            </a:pPr>
            <a:r>
              <a:rPr lang="en-US" sz="1600" b="1" i="1">
                <a:latin typeface="Times New Roman" panose="02020603050405020304" pitchFamily="18" charset="0"/>
                <a:cs typeface="Times New Roman" panose="02020603050405020304" pitchFamily="18" charset="0"/>
              </a:rPr>
              <a:t>Revenue Share</a:t>
            </a:r>
          </a:p>
        </c:rich>
      </c:tx>
      <c:overlay val="0"/>
    </c:title>
    <c:autoTitleDeleted val="0"/>
    <c:plotArea>
      <c:layout/>
      <c:pieChart>
        <c:varyColors val="1"/>
        <c:ser>
          <c:idx val="0"/>
          <c:order val="0"/>
          <c:tx>
            <c:v>Revenue Share</c:v>
          </c:tx>
          <c:dLbls>
            <c:dLbl>
              <c:idx val="1"/>
              <c:layout>
                <c:manualLayout>
                  <c:x val="-5.0008089343599231E-2"/>
                  <c:y val="0.26763867016622922"/>
                </c:manualLayout>
              </c:layout>
              <c:showLegendKey val="0"/>
              <c:showVal val="0"/>
              <c:showCatName val="1"/>
              <c:showSerName val="0"/>
              <c:showPercent val="1"/>
              <c:showBubbleSize val="0"/>
            </c:dLbl>
            <c:dLbl>
              <c:idx val="3"/>
              <c:layout>
                <c:manualLayout>
                  <c:x val="-0.19236610390441772"/>
                  <c:y val="-0.15672047244094489"/>
                </c:manualLayout>
              </c:layout>
              <c:showLegendKey val="0"/>
              <c:showVal val="0"/>
              <c:showCatName val="1"/>
              <c:showSerName val="0"/>
              <c:showPercent val="1"/>
              <c:showBubbleSize val="0"/>
            </c:dLbl>
            <c:dLbl>
              <c:idx val="5"/>
              <c:layout>
                <c:manualLayout>
                  <c:x val="0.32815138129906712"/>
                  <c:y val="2.8055555555555556E-2"/>
                </c:manualLayout>
              </c:layout>
              <c:showLegendKey val="0"/>
              <c:showVal val="0"/>
              <c:showCatName val="1"/>
              <c:showSerName val="0"/>
              <c:showPercent val="1"/>
              <c:showBubbleSize val="0"/>
            </c:dLbl>
            <c:txPr>
              <a:bodyPr/>
              <a:lstStyle/>
              <a:p>
                <a:pPr>
                  <a:defRPr sz="1100" b="1">
                    <a:latin typeface="Times New Roman" panose="02020603050405020304" pitchFamily="18" charset="0"/>
                    <a:cs typeface="Times New Roman" panose="02020603050405020304" pitchFamily="18" charset="0"/>
                  </a:defRPr>
                </a:pPr>
                <a:endParaRPr lang="en-US"/>
              </a:p>
            </c:txPr>
            <c:showLegendKey val="0"/>
            <c:showVal val="0"/>
            <c:showCatName val="1"/>
            <c:showSerName val="0"/>
            <c:showPercent val="1"/>
            <c:showBubbleSize val="0"/>
            <c:showLeaderLines val="1"/>
          </c:dLbls>
          <c:cat>
            <c:strRef>
              <c:f>'Products of Skiekz'!$A$2:$A$7</c:f>
              <c:strCache>
                <c:ptCount val="6"/>
                <c:pt idx="0">
                  <c:v>Jackets</c:v>
                </c:pt>
                <c:pt idx="1">
                  <c:v>Pants</c:v>
                </c:pt>
                <c:pt idx="2">
                  <c:v>Shells</c:v>
                </c:pt>
                <c:pt idx="3">
                  <c:v>Vests</c:v>
                </c:pt>
                <c:pt idx="4">
                  <c:v>Sweaters</c:v>
                </c:pt>
                <c:pt idx="5">
                  <c:v>Other Accessories</c:v>
                </c:pt>
              </c:strCache>
            </c:strRef>
          </c:cat>
          <c:val>
            <c:numRef>
              <c:f>'Products of Skiekz'!$B$2:$B$7</c:f>
              <c:numCache>
                <c:formatCode>0%</c:formatCode>
                <c:ptCount val="6"/>
                <c:pt idx="0">
                  <c:v>0.78</c:v>
                </c:pt>
                <c:pt idx="1">
                  <c:v>0.03</c:v>
                </c:pt>
                <c:pt idx="2">
                  <c:v>0.01</c:v>
                </c:pt>
                <c:pt idx="3">
                  <c:v>0.01</c:v>
                </c:pt>
                <c:pt idx="4">
                  <c:v>0.12</c:v>
                </c:pt>
                <c:pt idx="5">
                  <c:v>0.05</c:v>
                </c:pt>
              </c:numCache>
            </c:numRef>
          </c:val>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CA"/>
  <c:roundedCorners val="0"/>
  <mc:AlternateContent xmlns:mc="http://schemas.openxmlformats.org/markup-compatibility/2006">
    <mc:Choice xmlns:c14="http://schemas.microsoft.com/office/drawing/2007/8/2/chart" Requires="c14">
      <c14:style val="114"/>
    </mc:Choice>
    <mc:Fallback>
      <c:style val="14"/>
    </mc:Fallback>
  </mc:AlternateContent>
  <c:chart>
    <c:title>
      <c:tx>
        <c:rich>
          <a:bodyPr/>
          <a:lstStyle/>
          <a:p>
            <a:pPr>
              <a:defRPr/>
            </a:pPr>
            <a:r>
              <a:rPr lang="en-US" sz="1600" b="1" i="1">
                <a:latin typeface="Times New Roman" panose="02020603050405020304" pitchFamily="18" charset="0"/>
                <a:cs typeface="Times New Roman" panose="02020603050405020304" pitchFamily="18" charset="0"/>
              </a:rPr>
              <a:t>Observed Demand</a:t>
            </a:r>
          </a:p>
        </c:rich>
      </c:tx>
      <c:overlay val="0"/>
    </c:title>
    <c:autoTitleDeleted val="0"/>
    <c:plotArea>
      <c:layout/>
      <c:barChart>
        <c:barDir val="col"/>
        <c:grouping val="clustered"/>
        <c:varyColors val="0"/>
        <c:ser>
          <c:idx val="0"/>
          <c:order val="0"/>
          <c:tx>
            <c:v>Observed Demand</c:v>
          </c:tx>
          <c:invertIfNegative val="0"/>
          <c:cat>
            <c:numRef>
              <c:f>'Data From Case'!$AA$3:$AA$34</c:f>
              <c:numCache>
                <c:formatCode>General</c:formatCode>
                <c:ptCount val="32"/>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numCache>
            </c:numRef>
          </c:cat>
          <c:val>
            <c:numRef>
              <c:f>'Data From Case'!$AB$3:$AB$34</c:f>
              <c:numCache>
                <c:formatCode>General</c:formatCode>
                <c:ptCount val="32"/>
                <c:pt idx="0">
                  <c:v>18000</c:v>
                </c:pt>
                <c:pt idx="1">
                  <c:v>19000</c:v>
                </c:pt>
                <c:pt idx="2">
                  <c:v>9000</c:v>
                </c:pt>
                <c:pt idx="3">
                  <c:v>13000</c:v>
                </c:pt>
                <c:pt idx="4">
                  <c:v>16000</c:v>
                </c:pt>
                <c:pt idx="5">
                  <c:v>12000</c:v>
                </c:pt>
                <c:pt idx="6">
                  <c:v>12000</c:v>
                </c:pt>
                <c:pt idx="7">
                  <c:v>9000</c:v>
                </c:pt>
                <c:pt idx="8">
                  <c:v>11000</c:v>
                </c:pt>
                <c:pt idx="9">
                  <c:v>12000</c:v>
                </c:pt>
                <c:pt idx="10">
                  <c:v>9000</c:v>
                </c:pt>
                <c:pt idx="11">
                  <c:v>9000</c:v>
                </c:pt>
                <c:pt idx="12">
                  <c:v>19000</c:v>
                </c:pt>
                <c:pt idx="13">
                  <c:v>11000</c:v>
                </c:pt>
                <c:pt idx="14">
                  <c:v>19000</c:v>
                </c:pt>
                <c:pt idx="15">
                  <c:v>15000</c:v>
                </c:pt>
                <c:pt idx="16">
                  <c:v>17000</c:v>
                </c:pt>
                <c:pt idx="17">
                  <c:v>9000</c:v>
                </c:pt>
                <c:pt idx="18">
                  <c:v>18000</c:v>
                </c:pt>
                <c:pt idx="19">
                  <c:v>18000</c:v>
                </c:pt>
                <c:pt idx="20">
                  <c:v>10000</c:v>
                </c:pt>
                <c:pt idx="21">
                  <c:v>18000</c:v>
                </c:pt>
                <c:pt idx="22">
                  <c:v>17000</c:v>
                </c:pt>
                <c:pt idx="23">
                  <c:v>11000</c:v>
                </c:pt>
                <c:pt idx="24">
                  <c:v>15000</c:v>
                </c:pt>
                <c:pt idx="25">
                  <c:v>9000</c:v>
                </c:pt>
                <c:pt idx="26">
                  <c:v>18000</c:v>
                </c:pt>
                <c:pt idx="27">
                  <c:v>9000</c:v>
                </c:pt>
                <c:pt idx="28">
                  <c:v>9000</c:v>
                </c:pt>
                <c:pt idx="29">
                  <c:v>14000</c:v>
                </c:pt>
                <c:pt idx="30">
                  <c:v>19000</c:v>
                </c:pt>
                <c:pt idx="31">
                  <c:v>19000</c:v>
                </c:pt>
              </c:numCache>
            </c:numRef>
          </c:val>
        </c:ser>
        <c:dLbls>
          <c:showLegendKey val="0"/>
          <c:showVal val="0"/>
          <c:showCatName val="0"/>
          <c:showSerName val="0"/>
          <c:showPercent val="0"/>
          <c:showBubbleSize val="0"/>
        </c:dLbls>
        <c:gapWidth val="150"/>
        <c:axId val="172377600"/>
        <c:axId val="172379136"/>
      </c:barChart>
      <c:catAx>
        <c:axId val="172377600"/>
        <c:scaling>
          <c:orientation val="minMax"/>
        </c:scaling>
        <c:delete val="0"/>
        <c:axPos val="b"/>
        <c:numFmt formatCode="General" sourceLinked="1"/>
        <c:majorTickMark val="none"/>
        <c:minorTickMark val="none"/>
        <c:tickLblPos val="nextTo"/>
        <c:crossAx val="172379136"/>
        <c:crosses val="autoZero"/>
        <c:auto val="1"/>
        <c:lblAlgn val="ctr"/>
        <c:lblOffset val="100"/>
        <c:noMultiLvlLbl val="0"/>
      </c:catAx>
      <c:valAx>
        <c:axId val="172379136"/>
        <c:scaling>
          <c:orientation val="minMax"/>
          <c:max val="20000"/>
          <c:min val="8000"/>
        </c:scaling>
        <c:delete val="0"/>
        <c:axPos val="l"/>
        <c:majorGridlines/>
        <c:title>
          <c:tx>
            <c:rich>
              <a:bodyPr/>
              <a:lstStyle/>
              <a:p>
                <a:pPr>
                  <a:defRPr/>
                </a:pPr>
                <a:r>
                  <a:rPr lang="en-CA" sz="1200" b="1">
                    <a:latin typeface="Times New Roman" panose="02020603050405020304" pitchFamily="18" charset="0"/>
                    <a:cs typeface="Times New Roman" panose="02020603050405020304" pitchFamily="18" charset="0"/>
                  </a:rPr>
                  <a:t>Number of ski jackets sold per year</a:t>
                </a:r>
              </a:p>
            </c:rich>
          </c:tx>
          <c:overlay val="0"/>
        </c:title>
        <c:numFmt formatCode="General" sourceLinked="1"/>
        <c:majorTickMark val="none"/>
        <c:minorTickMark val="none"/>
        <c:tickLblPos val="nextTo"/>
        <c:crossAx val="172377600"/>
        <c:crosses val="autoZero"/>
        <c:crossBetween val="between"/>
        <c:majorUnit val="1000"/>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CA"/>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latin typeface="Times New Roman" panose="02020603050405020304" pitchFamily="18" charset="0"/>
                <a:cs typeface="Times New Roman" panose="02020603050405020304" pitchFamily="18" charset="0"/>
              </a:defRPr>
            </a:pPr>
            <a:r>
              <a:rPr lang="en-CA" sz="1100">
                <a:latin typeface="Times New Roman" panose="02020603050405020304" pitchFamily="18" charset="0"/>
                <a:cs typeface="Times New Roman" panose="02020603050405020304" pitchFamily="18" charset="0"/>
              </a:rPr>
              <a:t>Profit Functions</a:t>
            </a:r>
          </a:p>
        </c:rich>
      </c:tx>
      <c:overlay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title>
    <c:autoTitleDeleted val="0"/>
    <c:plotArea>
      <c:layout/>
      <c:scatterChart>
        <c:scatterStyle val="smoothMarker"/>
        <c:varyColors val="0"/>
        <c:ser>
          <c:idx val="0"/>
          <c:order val="0"/>
          <c:tx>
            <c:v>SkiRetail Profits</c:v>
          </c:tx>
          <c:marker>
            <c:symbol val="none"/>
          </c:marker>
          <c:xVal>
            <c:numRef>
              <c:f>'Revenue Share'!$A$9:$A$87</c:f>
              <c:numCache>
                <c:formatCode>_("$"* #,##0.00_);_("$"* \(#,##0.00\);_("$"* "-"??_);_(@_)</c:formatCode>
                <c:ptCount val="79"/>
                <c:pt idx="0">
                  <c:v>121</c:v>
                </c:pt>
                <c:pt idx="1">
                  <c:v>122</c:v>
                </c:pt>
                <c:pt idx="2">
                  <c:v>123</c:v>
                </c:pt>
                <c:pt idx="3">
                  <c:v>124</c:v>
                </c:pt>
                <c:pt idx="4">
                  <c:v>125</c:v>
                </c:pt>
                <c:pt idx="5">
                  <c:v>126</c:v>
                </c:pt>
                <c:pt idx="6">
                  <c:v>127</c:v>
                </c:pt>
                <c:pt idx="7">
                  <c:v>128</c:v>
                </c:pt>
                <c:pt idx="8">
                  <c:v>129</c:v>
                </c:pt>
                <c:pt idx="9">
                  <c:v>130</c:v>
                </c:pt>
                <c:pt idx="10">
                  <c:v>131</c:v>
                </c:pt>
                <c:pt idx="11">
                  <c:v>132</c:v>
                </c:pt>
                <c:pt idx="12">
                  <c:v>133</c:v>
                </c:pt>
                <c:pt idx="13">
                  <c:v>134</c:v>
                </c:pt>
                <c:pt idx="14">
                  <c:v>135</c:v>
                </c:pt>
                <c:pt idx="15">
                  <c:v>136</c:v>
                </c:pt>
                <c:pt idx="16">
                  <c:v>137</c:v>
                </c:pt>
                <c:pt idx="17">
                  <c:v>138</c:v>
                </c:pt>
                <c:pt idx="18">
                  <c:v>139</c:v>
                </c:pt>
                <c:pt idx="19">
                  <c:v>140</c:v>
                </c:pt>
                <c:pt idx="20">
                  <c:v>141</c:v>
                </c:pt>
                <c:pt idx="21">
                  <c:v>142</c:v>
                </c:pt>
                <c:pt idx="22">
                  <c:v>143</c:v>
                </c:pt>
                <c:pt idx="23">
                  <c:v>144</c:v>
                </c:pt>
                <c:pt idx="24">
                  <c:v>145</c:v>
                </c:pt>
                <c:pt idx="25">
                  <c:v>146</c:v>
                </c:pt>
                <c:pt idx="26">
                  <c:v>147</c:v>
                </c:pt>
                <c:pt idx="27">
                  <c:v>148</c:v>
                </c:pt>
                <c:pt idx="28">
                  <c:v>149</c:v>
                </c:pt>
                <c:pt idx="29">
                  <c:v>150</c:v>
                </c:pt>
                <c:pt idx="30">
                  <c:v>151</c:v>
                </c:pt>
                <c:pt idx="31">
                  <c:v>152</c:v>
                </c:pt>
                <c:pt idx="32">
                  <c:v>153</c:v>
                </c:pt>
                <c:pt idx="33">
                  <c:v>154</c:v>
                </c:pt>
                <c:pt idx="34">
                  <c:v>155</c:v>
                </c:pt>
                <c:pt idx="35">
                  <c:v>156</c:v>
                </c:pt>
                <c:pt idx="36">
                  <c:v>157</c:v>
                </c:pt>
                <c:pt idx="37">
                  <c:v>158</c:v>
                </c:pt>
                <c:pt idx="38">
                  <c:v>159</c:v>
                </c:pt>
                <c:pt idx="39">
                  <c:v>160</c:v>
                </c:pt>
                <c:pt idx="40">
                  <c:v>161</c:v>
                </c:pt>
                <c:pt idx="41">
                  <c:v>162</c:v>
                </c:pt>
                <c:pt idx="42">
                  <c:v>163</c:v>
                </c:pt>
                <c:pt idx="43">
                  <c:v>164</c:v>
                </c:pt>
                <c:pt idx="44">
                  <c:v>165</c:v>
                </c:pt>
                <c:pt idx="45">
                  <c:v>166</c:v>
                </c:pt>
                <c:pt idx="46">
                  <c:v>167</c:v>
                </c:pt>
                <c:pt idx="47">
                  <c:v>168</c:v>
                </c:pt>
                <c:pt idx="48">
                  <c:v>169</c:v>
                </c:pt>
                <c:pt idx="49">
                  <c:v>170</c:v>
                </c:pt>
                <c:pt idx="50">
                  <c:v>171</c:v>
                </c:pt>
                <c:pt idx="51">
                  <c:v>172</c:v>
                </c:pt>
                <c:pt idx="52">
                  <c:v>173</c:v>
                </c:pt>
                <c:pt idx="53">
                  <c:v>174</c:v>
                </c:pt>
                <c:pt idx="54">
                  <c:v>175</c:v>
                </c:pt>
                <c:pt idx="55">
                  <c:v>176</c:v>
                </c:pt>
                <c:pt idx="56">
                  <c:v>177</c:v>
                </c:pt>
                <c:pt idx="57">
                  <c:v>178</c:v>
                </c:pt>
                <c:pt idx="58">
                  <c:v>179</c:v>
                </c:pt>
                <c:pt idx="59">
                  <c:v>180</c:v>
                </c:pt>
                <c:pt idx="60">
                  <c:v>181</c:v>
                </c:pt>
                <c:pt idx="61">
                  <c:v>182</c:v>
                </c:pt>
                <c:pt idx="62">
                  <c:v>183</c:v>
                </c:pt>
                <c:pt idx="63">
                  <c:v>184</c:v>
                </c:pt>
                <c:pt idx="64">
                  <c:v>185</c:v>
                </c:pt>
                <c:pt idx="65">
                  <c:v>186</c:v>
                </c:pt>
                <c:pt idx="66">
                  <c:v>187</c:v>
                </c:pt>
                <c:pt idx="67">
                  <c:v>188</c:v>
                </c:pt>
                <c:pt idx="68">
                  <c:v>189</c:v>
                </c:pt>
                <c:pt idx="69">
                  <c:v>190</c:v>
                </c:pt>
                <c:pt idx="70">
                  <c:v>191</c:v>
                </c:pt>
                <c:pt idx="71">
                  <c:v>192</c:v>
                </c:pt>
                <c:pt idx="72">
                  <c:v>193</c:v>
                </c:pt>
                <c:pt idx="73">
                  <c:v>194</c:v>
                </c:pt>
                <c:pt idx="74">
                  <c:v>195</c:v>
                </c:pt>
                <c:pt idx="75">
                  <c:v>196</c:v>
                </c:pt>
                <c:pt idx="76">
                  <c:v>197</c:v>
                </c:pt>
                <c:pt idx="77">
                  <c:v>198</c:v>
                </c:pt>
                <c:pt idx="78">
                  <c:v>199</c:v>
                </c:pt>
              </c:numCache>
            </c:numRef>
          </c:xVal>
          <c:yVal>
            <c:numRef>
              <c:f>'Revenue Share'!$F$9:$F$87</c:f>
              <c:numCache>
                <c:formatCode>"$"#,##0.00_);[Red]\("$"#,##0.00\)</c:formatCode>
                <c:ptCount val="79"/>
                <c:pt idx="0">
                  <c:v>1002687.5</c:v>
                </c:pt>
                <c:pt idx="1">
                  <c:v>985687.5</c:v>
                </c:pt>
                <c:pt idx="2">
                  <c:v>968687.5</c:v>
                </c:pt>
                <c:pt idx="3">
                  <c:v>951687.5</c:v>
                </c:pt>
                <c:pt idx="4">
                  <c:v>942500</c:v>
                </c:pt>
                <c:pt idx="5">
                  <c:v>926500</c:v>
                </c:pt>
                <c:pt idx="6">
                  <c:v>910500</c:v>
                </c:pt>
                <c:pt idx="7">
                  <c:v>894500</c:v>
                </c:pt>
                <c:pt idx="8">
                  <c:v>878500</c:v>
                </c:pt>
                <c:pt idx="9">
                  <c:v>870546.875</c:v>
                </c:pt>
                <c:pt idx="10">
                  <c:v>855546.875</c:v>
                </c:pt>
                <c:pt idx="11">
                  <c:v>840546.875</c:v>
                </c:pt>
                <c:pt idx="12">
                  <c:v>825546.875</c:v>
                </c:pt>
                <c:pt idx="13">
                  <c:v>810546.875</c:v>
                </c:pt>
                <c:pt idx="14">
                  <c:v>795546.875</c:v>
                </c:pt>
                <c:pt idx="15">
                  <c:v>780546.875</c:v>
                </c:pt>
                <c:pt idx="16">
                  <c:v>765546.875</c:v>
                </c:pt>
                <c:pt idx="17">
                  <c:v>750546.875</c:v>
                </c:pt>
                <c:pt idx="18">
                  <c:v>735546.875</c:v>
                </c:pt>
                <c:pt idx="19">
                  <c:v>720546.875</c:v>
                </c:pt>
                <c:pt idx="20">
                  <c:v>705546.875</c:v>
                </c:pt>
                <c:pt idx="21">
                  <c:v>701062.5</c:v>
                </c:pt>
                <c:pt idx="22">
                  <c:v>687062.5</c:v>
                </c:pt>
                <c:pt idx="23">
                  <c:v>673062.5</c:v>
                </c:pt>
                <c:pt idx="24">
                  <c:v>659062.5</c:v>
                </c:pt>
                <c:pt idx="25">
                  <c:v>645062.5</c:v>
                </c:pt>
                <c:pt idx="26">
                  <c:v>631062.5</c:v>
                </c:pt>
                <c:pt idx="27">
                  <c:v>628812.5</c:v>
                </c:pt>
                <c:pt idx="28">
                  <c:v>615812.5</c:v>
                </c:pt>
                <c:pt idx="29">
                  <c:v>602812.5</c:v>
                </c:pt>
                <c:pt idx="30">
                  <c:v>589812.5</c:v>
                </c:pt>
                <c:pt idx="31">
                  <c:v>576812.5</c:v>
                </c:pt>
                <c:pt idx="32">
                  <c:v>563812.5</c:v>
                </c:pt>
                <c:pt idx="33">
                  <c:v>563796.875</c:v>
                </c:pt>
                <c:pt idx="34">
                  <c:v>551796.875</c:v>
                </c:pt>
                <c:pt idx="35">
                  <c:v>539796.875</c:v>
                </c:pt>
                <c:pt idx="36">
                  <c:v>527796.875</c:v>
                </c:pt>
                <c:pt idx="37">
                  <c:v>515796.875</c:v>
                </c:pt>
                <c:pt idx="38">
                  <c:v>503796.875</c:v>
                </c:pt>
                <c:pt idx="39">
                  <c:v>491796.875</c:v>
                </c:pt>
                <c:pt idx="40">
                  <c:v>479796.875</c:v>
                </c:pt>
                <c:pt idx="41">
                  <c:v>467796.875</c:v>
                </c:pt>
                <c:pt idx="42">
                  <c:v>455796.875</c:v>
                </c:pt>
                <c:pt idx="43">
                  <c:v>443796.875</c:v>
                </c:pt>
                <c:pt idx="44">
                  <c:v>431796.875</c:v>
                </c:pt>
                <c:pt idx="45">
                  <c:v>419796.875</c:v>
                </c:pt>
                <c:pt idx="46">
                  <c:v>407796.875</c:v>
                </c:pt>
                <c:pt idx="47">
                  <c:v>395796.875</c:v>
                </c:pt>
                <c:pt idx="48">
                  <c:v>383796.875</c:v>
                </c:pt>
                <c:pt idx="49">
                  <c:v>371796.875</c:v>
                </c:pt>
                <c:pt idx="50">
                  <c:v>359796.875</c:v>
                </c:pt>
                <c:pt idx="51">
                  <c:v>364484.375</c:v>
                </c:pt>
                <c:pt idx="52">
                  <c:v>353484.375</c:v>
                </c:pt>
                <c:pt idx="53">
                  <c:v>342484.375</c:v>
                </c:pt>
                <c:pt idx="54">
                  <c:v>331484.375</c:v>
                </c:pt>
                <c:pt idx="55">
                  <c:v>320484.375</c:v>
                </c:pt>
                <c:pt idx="56">
                  <c:v>309484.375</c:v>
                </c:pt>
                <c:pt idx="57">
                  <c:v>298484.375</c:v>
                </c:pt>
                <c:pt idx="58">
                  <c:v>287484.375</c:v>
                </c:pt>
                <c:pt idx="59">
                  <c:v>276484.375</c:v>
                </c:pt>
                <c:pt idx="60">
                  <c:v>265484.375</c:v>
                </c:pt>
                <c:pt idx="61">
                  <c:v>254484.375</c:v>
                </c:pt>
                <c:pt idx="62">
                  <c:v>243484.375</c:v>
                </c:pt>
                <c:pt idx="63">
                  <c:v>232484.375</c:v>
                </c:pt>
                <c:pt idx="64">
                  <c:v>221484.375</c:v>
                </c:pt>
                <c:pt idx="65">
                  <c:v>210484.375</c:v>
                </c:pt>
                <c:pt idx="66">
                  <c:v>199484.375</c:v>
                </c:pt>
                <c:pt idx="67">
                  <c:v>188484.375</c:v>
                </c:pt>
                <c:pt idx="68">
                  <c:v>177484.375</c:v>
                </c:pt>
                <c:pt idx="69">
                  <c:v>166484.375</c:v>
                </c:pt>
                <c:pt idx="70">
                  <c:v>176875</c:v>
                </c:pt>
                <c:pt idx="71">
                  <c:v>166875</c:v>
                </c:pt>
                <c:pt idx="72">
                  <c:v>156875</c:v>
                </c:pt>
                <c:pt idx="73">
                  <c:v>146875</c:v>
                </c:pt>
                <c:pt idx="74">
                  <c:v>136875</c:v>
                </c:pt>
                <c:pt idx="75">
                  <c:v>126875</c:v>
                </c:pt>
                <c:pt idx="76">
                  <c:v>139500</c:v>
                </c:pt>
                <c:pt idx="77">
                  <c:v>130500</c:v>
                </c:pt>
                <c:pt idx="78">
                  <c:v>121500</c:v>
                </c:pt>
              </c:numCache>
            </c:numRef>
          </c:yVal>
          <c:smooth val="1"/>
        </c:ser>
        <c:ser>
          <c:idx val="1"/>
          <c:order val="1"/>
          <c:tx>
            <c:v>Skiekz Profits</c:v>
          </c:tx>
          <c:marker>
            <c:symbol val="none"/>
          </c:marker>
          <c:xVal>
            <c:numRef>
              <c:f>'Revenue Share'!$A$9:$A$87</c:f>
              <c:numCache>
                <c:formatCode>_("$"* #,##0.00_);_("$"* \(#,##0.00\);_("$"* "-"??_);_(@_)</c:formatCode>
                <c:ptCount val="79"/>
                <c:pt idx="0">
                  <c:v>121</c:v>
                </c:pt>
                <c:pt idx="1">
                  <c:v>122</c:v>
                </c:pt>
                <c:pt idx="2">
                  <c:v>123</c:v>
                </c:pt>
                <c:pt idx="3">
                  <c:v>124</c:v>
                </c:pt>
                <c:pt idx="4">
                  <c:v>125</c:v>
                </c:pt>
                <c:pt idx="5">
                  <c:v>126</c:v>
                </c:pt>
                <c:pt idx="6">
                  <c:v>127</c:v>
                </c:pt>
                <c:pt idx="7">
                  <c:v>128</c:v>
                </c:pt>
                <c:pt idx="8">
                  <c:v>129</c:v>
                </c:pt>
                <c:pt idx="9">
                  <c:v>130</c:v>
                </c:pt>
                <c:pt idx="10">
                  <c:v>131</c:v>
                </c:pt>
                <c:pt idx="11">
                  <c:v>132</c:v>
                </c:pt>
                <c:pt idx="12">
                  <c:v>133</c:v>
                </c:pt>
                <c:pt idx="13">
                  <c:v>134</c:v>
                </c:pt>
                <c:pt idx="14">
                  <c:v>135</c:v>
                </c:pt>
                <c:pt idx="15">
                  <c:v>136</c:v>
                </c:pt>
                <c:pt idx="16">
                  <c:v>137</c:v>
                </c:pt>
                <c:pt idx="17">
                  <c:v>138</c:v>
                </c:pt>
                <c:pt idx="18">
                  <c:v>139</c:v>
                </c:pt>
                <c:pt idx="19">
                  <c:v>140</c:v>
                </c:pt>
                <c:pt idx="20">
                  <c:v>141</c:v>
                </c:pt>
                <c:pt idx="21">
                  <c:v>142</c:v>
                </c:pt>
                <c:pt idx="22">
                  <c:v>143</c:v>
                </c:pt>
                <c:pt idx="23">
                  <c:v>144</c:v>
                </c:pt>
                <c:pt idx="24">
                  <c:v>145</c:v>
                </c:pt>
                <c:pt idx="25">
                  <c:v>146</c:v>
                </c:pt>
                <c:pt idx="26">
                  <c:v>147</c:v>
                </c:pt>
                <c:pt idx="27">
                  <c:v>148</c:v>
                </c:pt>
                <c:pt idx="28">
                  <c:v>149</c:v>
                </c:pt>
                <c:pt idx="29">
                  <c:v>150</c:v>
                </c:pt>
                <c:pt idx="30">
                  <c:v>151</c:v>
                </c:pt>
                <c:pt idx="31">
                  <c:v>152</c:v>
                </c:pt>
                <c:pt idx="32">
                  <c:v>153</c:v>
                </c:pt>
                <c:pt idx="33">
                  <c:v>154</c:v>
                </c:pt>
                <c:pt idx="34">
                  <c:v>155</c:v>
                </c:pt>
                <c:pt idx="35">
                  <c:v>156</c:v>
                </c:pt>
                <c:pt idx="36">
                  <c:v>157</c:v>
                </c:pt>
                <c:pt idx="37">
                  <c:v>158</c:v>
                </c:pt>
                <c:pt idx="38">
                  <c:v>159</c:v>
                </c:pt>
                <c:pt idx="39">
                  <c:v>160</c:v>
                </c:pt>
                <c:pt idx="40">
                  <c:v>161</c:v>
                </c:pt>
                <c:pt idx="41">
                  <c:v>162</c:v>
                </c:pt>
                <c:pt idx="42">
                  <c:v>163</c:v>
                </c:pt>
                <c:pt idx="43">
                  <c:v>164</c:v>
                </c:pt>
                <c:pt idx="44">
                  <c:v>165</c:v>
                </c:pt>
                <c:pt idx="45">
                  <c:v>166</c:v>
                </c:pt>
                <c:pt idx="46">
                  <c:v>167</c:v>
                </c:pt>
                <c:pt idx="47">
                  <c:v>168</c:v>
                </c:pt>
                <c:pt idx="48">
                  <c:v>169</c:v>
                </c:pt>
                <c:pt idx="49">
                  <c:v>170</c:v>
                </c:pt>
                <c:pt idx="50">
                  <c:v>171</c:v>
                </c:pt>
                <c:pt idx="51">
                  <c:v>172</c:v>
                </c:pt>
                <c:pt idx="52">
                  <c:v>173</c:v>
                </c:pt>
                <c:pt idx="53">
                  <c:v>174</c:v>
                </c:pt>
                <c:pt idx="54">
                  <c:v>175</c:v>
                </c:pt>
                <c:pt idx="55">
                  <c:v>176</c:v>
                </c:pt>
                <c:pt idx="56">
                  <c:v>177</c:v>
                </c:pt>
                <c:pt idx="57">
                  <c:v>178</c:v>
                </c:pt>
                <c:pt idx="58">
                  <c:v>179</c:v>
                </c:pt>
                <c:pt idx="59">
                  <c:v>180</c:v>
                </c:pt>
                <c:pt idx="60">
                  <c:v>181</c:v>
                </c:pt>
                <c:pt idx="61">
                  <c:v>182</c:v>
                </c:pt>
                <c:pt idx="62">
                  <c:v>183</c:v>
                </c:pt>
                <c:pt idx="63">
                  <c:v>184</c:v>
                </c:pt>
                <c:pt idx="64">
                  <c:v>185</c:v>
                </c:pt>
                <c:pt idx="65">
                  <c:v>186</c:v>
                </c:pt>
                <c:pt idx="66">
                  <c:v>187</c:v>
                </c:pt>
                <c:pt idx="67">
                  <c:v>188</c:v>
                </c:pt>
                <c:pt idx="68">
                  <c:v>189</c:v>
                </c:pt>
                <c:pt idx="69">
                  <c:v>190</c:v>
                </c:pt>
                <c:pt idx="70">
                  <c:v>191</c:v>
                </c:pt>
                <c:pt idx="71">
                  <c:v>192</c:v>
                </c:pt>
                <c:pt idx="72">
                  <c:v>193</c:v>
                </c:pt>
                <c:pt idx="73">
                  <c:v>194</c:v>
                </c:pt>
                <c:pt idx="74">
                  <c:v>195</c:v>
                </c:pt>
                <c:pt idx="75">
                  <c:v>196</c:v>
                </c:pt>
                <c:pt idx="76">
                  <c:v>197</c:v>
                </c:pt>
                <c:pt idx="77">
                  <c:v>198</c:v>
                </c:pt>
                <c:pt idx="78">
                  <c:v>199</c:v>
                </c:pt>
              </c:numCache>
            </c:numRef>
          </c:xVal>
          <c:yVal>
            <c:numRef>
              <c:f>'Revenue Share'!$G$9:$G$87</c:f>
              <c:numCache>
                <c:formatCode>"$"#,##0.00_);[Red]\("$"#,##0.00\)</c:formatCode>
                <c:ptCount val="79"/>
                <c:pt idx="0">
                  <c:v>108562.5</c:v>
                </c:pt>
                <c:pt idx="1">
                  <c:v>125562.5</c:v>
                </c:pt>
                <c:pt idx="2">
                  <c:v>142562.5</c:v>
                </c:pt>
                <c:pt idx="3">
                  <c:v>159562.5</c:v>
                </c:pt>
                <c:pt idx="4">
                  <c:v>177500</c:v>
                </c:pt>
                <c:pt idx="5">
                  <c:v>193500</c:v>
                </c:pt>
                <c:pt idx="6">
                  <c:v>209500</c:v>
                </c:pt>
                <c:pt idx="7">
                  <c:v>225500</c:v>
                </c:pt>
                <c:pt idx="8">
                  <c:v>241500</c:v>
                </c:pt>
                <c:pt idx="9">
                  <c:v>252265.625</c:v>
                </c:pt>
                <c:pt idx="10">
                  <c:v>267265.625</c:v>
                </c:pt>
                <c:pt idx="11">
                  <c:v>282265.625</c:v>
                </c:pt>
                <c:pt idx="12">
                  <c:v>297265.625</c:v>
                </c:pt>
                <c:pt idx="13">
                  <c:v>312265.625</c:v>
                </c:pt>
                <c:pt idx="14">
                  <c:v>327265.625</c:v>
                </c:pt>
                <c:pt idx="15">
                  <c:v>342265.625</c:v>
                </c:pt>
                <c:pt idx="16">
                  <c:v>357265.625</c:v>
                </c:pt>
                <c:pt idx="17">
                  <c:v>372265.625</c:v>
                </c:pt>
                <c:pt idx="18">
                  <c:v>387265.625</c:v>
                </c:pt>
                <c:pt idx="19">
                  <c:v>402265.625</c:v>
                </c:pt>
                <c:pt idx="20">
                  <c:v>417265.625</c:v>
                </c:pt>
                <c:pt idx="21">
                  <c:v>412687.5</c:v>
                </c:pt>
                <c:pt idx="22">
                  <c:v>426687.5</c:v>
                </c:pt>
                <c:pt idx="23">
                  <c:v>440687.5</c:v>
                </c:pt>
                <c:pt idx="24">
                  <c:v>454687.5</c:v>
                </c:pt>
                <c:pt idx="25">
                  <c:v>468687.5</c:v>
                </c:pt>
                <c:pt idx="26">
                  <c:v>482687.5</c:v>
                </c:pt>
                <c:pt idx="27">
                  <c:v>469937.5</c:v>
                </c:pt>
                <c:pt idx="28">
                  <c:v>482937.5</c:v>
                </c:pt>
                <c:pt idx="29">
                  <c:v>495937.5</c:v>
                </c:pt>
                <c:pt idx="30">
                  <c:v>508937.5</c:v>
                </c:pt>
                <c:pt idx="31">
                  <c:v>521937.5</c:v>
                </c:pt>
                <c:pt idx="32">
                  <c:v>534937.5</c:v>
                </c:pt>
                <c:pt idx="33">
                  <c:v>514015.625</c:v>
                </c:pt>
                <c:pt idx="34">
                  <c:v>526015.625</c:v>
                </c:pt>
                <c:pt idx="35">
                  <c:v>538015.625</c:v>
                </c:pt>
                <c:pt idx="36">
                  <c:v>550015.625</c:v>
                </c:pt>
                <c:pt idx="37">
                  <c:v>562015.625</c:v>
                </c:pt>
                <c:pt idx="38">
                  <c:v>574015.625</c:v>
                </c:pt>
                <c:pt idx="39">
                  <c:v>586015.625</c:v>
                </c:pt>
                <c:pt idx="40">
                  <c:v>598015.625</c:v>
                </c:pt>
                <c:pt idx="41">
                  <c:v>610015.625</c:v>
                </c:pt>
                <c:pt idx="42">
                  <c:v>622015.625</c:v>
                </c:pt>
                <c:pt idx="43">
                  <c:v>634015.625</c:v>
                </c:pt>
                <c:pt idx="44">
                  <c:v>646015.625</c:v>
                </c:pt>
                <c:pt idx="45">
                  <c:v>658015.625</c:v>
                </c:pt>
                <c:pt idx="46">
                  <c:v>670015.625</c:v>
                </c:pt>
                <c:pt idx="47">
                  <c:v>682015.625</c:v>
                </c:pt>
                <c:pt idx="48">
                  <c:v>694015.625</c:v>
                </c:pt>
                <c:pt idx="49">
                  <c:v>706015.625</c:v>
                </c:pt>
                <c:pt idx="50">
                  <c:v>718015.625</c:v>
                </c:pt>
                <c:pt idx="51">
                  <c:v>674578.125</c:v>
                </c:pt>
                <c:pt idx="52">
                  <c:v>685578.125</c:v>
                </c:pt>
                <c:pt idx="53">
                  <c:v>696578.125</c:v>
                </c:pt>
                <c:pt idx="54">
                  <c:v>707578.125</c:v>
                </c:pt>
                <c:pt idx="55">
                  <c:v>718578.125</c:v>
                </c:pt>
                <c:pt idx="56">
                  <c:v>729578.125</c:v>
                </c:pt>
                <c:pt idx="57">
                  <c:v>740578.125</c:v>
                </c:pt>
                <c:pt idx="58">
                  <c:v>751578.125</c:v>
                </c:pt>
                <c:pt idx="59">
                  <c:v>762578.125</c:v>
                </c:pt>
                <c:pt idx="60">
                  <c:v>773578.125</c:v>
                </c:pt>
                <c:pt idx="61">
                  <c:v>784578.125</c:v>
                </c:pt>
                <c:pt idx="62">
                  <c:v>795578.125</c:v>
                </c:pt>
                <c:pt idx="63">
                  <c:v>806578.125</c:v>
                </c:pt>
                <c:pt idx="64">
                  <c:v>817578.125</c:v>
                </c:pt>
                <c:pt idx="65">
                  <c:v>828578.125</c:v>
                </c:pt>
                <c:pt idx="66">
                  <c:v>839578.125</c:v>
                </c:pt>
                <c:pt idx="67">
                  <c:v>850578.125</c:v>
                </c:pt>
                <c:pt idx="68">
                  <c:v>861578.125</c:v>
                </c:pt>
                <c:pt idx="69">
                  <c:v>872578.125</c:v>
                </c:pt>
                <c:pt idx="70">
                  <c:v>805625</c:v>
                </c:pt>
                <c:pt idx="71">
                  <c:v>815625</c:v>
                </c:pt>
                <c:pt idx="72">
                  <c:v>825625</c:v>
                </c:pt>
                <c:pt idx="73">
                  <c:v>835625</c:v>
                </c:pt>
                <c:pt idx="74">
                  <c:v>845625</c:v>
                </c:pt>
                <c:pt idx="75">
                  <c:v>855625</c:v>
                </c:pt>
                <c:pt idx="76">
                  <c:v>780500</c:v>
                </c:pt>
                <c:pt idx="77">
                  <c:v>789500</c:v>
                </c:pt>
                <c:pt idx="78">
                  <c:v>798500</c:v>
                </c:pt>
              </c:numCache>
            </c:numRef>
          </c:yVal>
          <c:smooth val="1"/>
        </c:ser>
        <c:ser>
          <c:idx val="2"/>
          <c:order val="2"/>
          <c:tx>
            <c:v>Supply Chain Profits</c:v>
          </c:tx>
          <c:marker>
            <c:symbol val="none"/>
          </c:marker>
          <c:xVal>
            <c:numRef>
              <c:f>'Revenue Share'!$A$9:$A$87</c:f>
              <c:numCache>
                <c:formatCode>_("$"* #,##0.00_);_("$"* \(#,##0.00\);_("$"* "-"??_);_(@_)</c:formatCode>
                <c:ptCount val="79"/>
                <c:pt idx="0">
                  <c:v>121</c:v>
                </c:pt>
                <c:pt idx="1">
                  <c:v>122</c:v>
                </c:pt>
                <c:pt idx="2">
                  <c:v>123</c:v>
                </c:pt>
                <c:pt idx="3">
                  <c:v>124</c:v>
                </c:pt>
                <c:pt idx="4">
                  <c:v>125</c:v>
                </c:pt>
                <c:pt idx="5">
                  <c:v>126</c:v>
                </c:pt>
                <c:pt idx="6">
                  <c:v>127</c:v>
                </c:pt>
                <c:pt idx="7">
                  <c:v>128</c:v>
                </c:pt>
                <c:pt idx="8">
                  <c:v>129</c:v>
                </c:pt>
                <c:pt idx="9">
                  <c:v>130</c:v>
                </c:pt>
                <c:pt idx="10">
                  <c:v>131</c:v>
                </c:pt>
                <c:pt idx="11">
                  <c:v>132</c:v>
                </c:pt>
                <c:pt idx="12">
                  <c:v>133</c:v>
                </c:pt>
                <c:pt idx="13">
                  <c:v>134</c:v>
                </c:pt>
                <c:pt idx="14">
                  <c:v>135</c:v>
                </c:pt>
                <c:pt idx="15">
                  <c:v>136</c:v>
                </c:pt>
                <c:pt idx="16">
                  <c:v>137</c:v>
                </c:pt>
                <c:pt idx="17">
                  <c:v>138</c:v>
                </c:pt>
                <c:pt idx="18">
                  <c:v>139</c:v>
                </c:pt>
                <c:pt idx="19">
                  <c:v>140</c:v>
                </c:pt>
                <c:pt idx="20">
                  <c:v>141</c:v>
                </c:pt>
                <c:pt idx="21">
                  <c:v>142</c:v>
                </c:pt>
                <c:pt idx="22">
                  <c:v>143</c:v>
                </c:pt>
                <c:pt idx="23">
                  <c:v>144</c:v>
                </c:pt>
                <c:pt idx="24">
                  <c:v>145</c:v>
                </c:pt>
                <c:pt idx="25">
                  <c:v>146</c:v>
                </c:pt>
                <c:pt idx="26">
                  <c:v>147</c:v>
                </c:pt>
                <c:pt idx="27">
                  <c:v>148</c:v>
                </c:pt>
                <c:pt idx="28">
                  <c:v>149</c:v>
                </c:pt>
                <c:pt idx="29">
                  <c:v>150</c:v>
                </c:pt>
                <c:pt idx="30">
                  <c:v>151</c:v>
                </c:pt>
                <c:pt idx="31">
                  <c:v>152</c:v>
                </c:pt>
                <c:pt idx="32">
                  <c:v>153</c:v>
                </c:pt>
                <c:pt idx="33">
                  <c:v>154</c:v>
                </c:pt>
                <c:pt idx="34">
                  <c:v>155</c:v>
                </c:pt>
                <c:pt idx="35">
                  <c:v>156</c:v>
                </c:pt>
                <c:pt idx="36">
                  <c:v>157</c:v>
                </c:pt>
                <c:pt idx="37">
                  <c:v>158</c:v>
                </c:pt>
                <c:pt idx="38">
                  <c:v>159</c:v>
                </c:pt>
                <c:pt idx="39">
                  <c:v>160</c:v>
                </c:pt>
                <c:pt idx="40">
                  <c:v>161</c:v>
                </c:pt>
                <c:pt idx="41">
                  <c:v>162</c:v>
                </c:pt>
                <c:pt idx="42">
                  <c:v>163</c:v>
                </c:pt>
                <c:pt idx="43">
                  <c:v>164</c:v>
                </c:pt>
                <c:pt idx="44">
                  <c:v>165</c:v>
                </c:pt>
                <c:pt idx="45">
                  <c:v>166</c:v>
                </c:pt>
                <c:pt idx="46">
                  <c:v>167</c:v>
                </c:pt>
                <c:pt idx="47">
                  <c:v>168</c:v>
                </c:pt>
                <c:pt idx="48">
                  <c:v>169</c:v>
                </c:pt>
                <c:pt idx="49">
                  <c:v>170</c:v>
                </c:pt>
                <c:pt idx="50">
                  <c:v>171</c:v>
                </c:pt>
                <c:pt idx="51">
                  <c:v>172</c:v>
                </c:pt>
                <c:pt idx="52">
                  <c:v>173</c:v>
                </c:pt>
                <c:pt idx="53">
                  <c:v>174</c:v>
                </c:pt>
                <c:pt idx="54">
                  <c:v>175</c:v>
                </c:pt>
                <c:pt idx="55">
                  <c:v>176</c:v>
                </c:pt>
                <c:pt idx="56">
                  <c:v>177</c:v>
                </c:pt>
                <c:pt idx="57">
                  <c:v>178</c:v>
                </c:pt>
                <c:pt idx="58">
                  <c:v>179</c:v>
                </c:pt>
                <c:pt idx="59">
                  <c:v>180</c:v>
                </c:pt>
                <c:pt idx="60">
                  <c:v>181</c:v>
                </c:pt>
                <c:pt idx="61">
                  <c:v>182</c:v>
                </c:pt>
                <c:pt idx="62">
                  <c:v>183</c:v>
                </c:pt>
                <c:pt idx="63">
                  <c:v>184</c:v>
                </c:pt>
                <c:pt idx="64">
                  <c:v>185</c:v>
                </c:pt>
                <c:pt idx="65">
                  <c:v>186</c:v>
                </c:pt>
                <c:pt idx="66">
                  <c:v>187</c:v>
                </c:pt>
                <c:pt idx="67">
                  <c:v>188</c:v>
                </c:pt>
                <c:pt idx="68">
                  <c:v>189</c:v>
                </c:pt>
                <c:pt idx="69">
                  <c:v>190</c:v>
                </c:pt>
                <c:pt idx="70">
                  <c:v>191</c:v>
                </c:pt>
                <c:pt idx="71">
                  <c:v>192</c:v>
                </c:pt>
                <c:pt idx="72">
                  <c:v>193</c:v>
                </c:pt>
                <c:pt idx="73">
                  <c:v>194</c:v>
                </c:pt>
                <c:pt idx="74">
                  <c:v>195</c:v>
                </c:pt>
                <c:pt idx="75">
                  <c:v>196</c:v>
                </c:pt>
                <c:pt idx="76">
                  <c:v>197</c:v>
                </c:pt>
                <c:pt idx="77">
                  <c:v>198</c:v>
                </c:pt>
                <c:pt idx="78">
                  <c:v>199</c:v>
                </c:pt>
              </c:numCache>
            </c:numRef>
          </c:xVal>
          <c:yVal>
            <c:numRef>
              <c:f>'Revenue Share'!$H$9:$H$87</c:f>
              <c:numCache>
                <c:formatCode>"$"#,##0.00_);[Red]\("$"#,##0.00\)</c:formatCode>
                <c:ptCount val="79"/>
                <c:pt idx="0">
                  <c:v>1111250</c:v>
                </c:pt>
                <c:pt idx="1">
                  <c:v>1111250</c:v>
                </c:pt>
                <c:pt idx="2">
                  <c:v>1111250</c:v>
                </c:pt>
                <c:pt idx="3">
                  <c:v>1111250</c:v>
                </c:pt>
                <c:pt idx="4">
                  <c:v>1120000</c:v>
                </c:pt>
                <c:pt idx="5">
                  <c:v>1120000</c:v>
                </c:pt>
                <c:pt idx="6">
                  <c:v>1120000</c:v>
                </c:pt>
                <c:pt idx="7">
                  <c:v>1120000</c:v>
                </c:pt>
                <c:pt idx="8">
                  <c:v>1120000</c:v>
                </c:pt>
                <c:pt idx="9">
                  <c:v>1122812.5</c:v>
                </c:pt>
                <c:pt idx="10">
                  <c:v>1122812.5</c:v>
                </c:pt>
                <c:pt idx="11">
                  <c:v>1122812.5</c:v>
                </c:pt>
                <c:pt idx="12">
                  <c:v>1122812.5</c:v>
                </c:pt>
                <c:pt idx="13">
                  <c:v>1122812.5</c:v>
                </c:pt>
                <c:pt idx="14">
                  <c:v>1122812.5</c:v>
                </c:pt>
                <c:pt idx="15">
                  <c:v>1122812.5</c:v>
                </c:pt>
                <c:pt idx="16">
                  <c:v>1122812.5</c:v>
                </c:pt>
                <c:pt idx="17">
                  <c:v>1122812.5</c:v>
                </c:pt>
                <c:pt idx="18">
                  <c:v>1122812.5</c:v>
                </c:pt>
                <c:pt idx="19">
                  <c:v>1122812.5</c:v>
                </c:pt>
                <c:pt idx="20">
                  <c:v>1122812.5</c:v>
                </c:pt>
                <c:pt idx="21">
                  <c:v>1113750</c:v>
                </c:pt>
                <c:pt idx="22">
                  <c:v>1113750</c:v>
                </c:pt>
                <c:pt idx="23">
                  <c:v>1113750</c:v>
                </c:pt>
                <c:pt idx="24">
                  <c:v>1113750</c:v>
                </c:pt>
                <c:pt idx="25">
                  <c:v>1113750</c:v>
                </c:pt>
                <c:pt idx="26">
                  <c:v>1113750</c:v>
                </c:pt>
                <c:pt idx="27">
                  <c:v>1098750</c:v>
                </c:pt>
                <c:pt idx="28">
                  <c:v>1098750</c:v>
                </c:pt>
                <c:pt idx="29">
                  <c:v>1098750</c:v>
                </c:pt>
                <c:pt idx="30">
                  <c:v>1098750</c:v>
                </c:pt>
                <c:pt idx="31">
                  <c:v>1098750</c:v>
                </c:pt>
                <c:pt idx="32">
                  <c:v>1098750</c:v>
                </c:pt>
                <c:pt idx="33">
                  <c:v>1077812.5</c:v>
                </c:pt>
                <c:pt idx="34">
                  <c:v>1077812.5</c:v>
                </c:pt>
                <c:pt idx="35">
                  <c:v>1077812.5</c:v>
                </c:pt>
                <c:pt idx="36">
                  <c:v>1077812.5</c:v>
                </c:pt>
                <c:pt idx="37">
                  <c:v>1077812.5</c:v>
                </c:pt>
                <c:pt idx="38">
                  <c:v>1077812.5</c:v>
                </c:pt>
                <c:pt idx="39">
                  <c:v>1077812.5</c:v>
                </c:pt>
                <c:pt idx="40">
                  <c:v>1077812.5</c:v>
                </c:pt>
                <c:pt idx="41">
                  <c:v>1077812.5</c:v>
                </c:pt>
                <c:pt idx="42">
                  <c:v>1077812.5</c:v>
                </c:pt>
                <c:pt idx="43">
                  <c:v>1077812.5</c:v>
                </c:pt>
                <c:pt idx="44">
                  <c:v>1077812.5</c:v>
                </c:pt>
                <c:pt idx="45">
                  <c:v>1077812.5</c:v>
                </c:pt>
                <c:pt idx="46">
                  <c:v>1077812.5</c:v>
                </c:pt>
                <c:pt idx="47">
                  <c:v>1077812.5</c:v>
                </c:pt>
                <c:pt idx="48">
                  <c:v>1077812.5</c:v>
                </c:pt>
                <c:pt idx="49">
                  <c:v>1077812.5</c:v>
                </c:pt>
                <c:pt idx="50">
                  <c:v>1077812.5</c:v>
                </c:pt>
                <c:pt idx="51">
                  <c:v>1039062.5</c:v>
                </c:pt>
                <c:pt idx="52">
                  <c:v>1039062.5</c:v>
                </c:pt>
                <c:pt idx="53">
                  <c:v>1039062.5</c:v>
                </c:pt>
                <c:pt idx="54">
                  <c:v>1039062.5</c:v>
                </c:pt>
                <c:pt idx="55">
                  <c:v>1039062.5</c:v>
                </c:pt>
                <c:pt idx="56">
                  <c:v>1039062.5</c:v>
                </c:pt>
                <c:pt idx="57">
                  <c:v>1039062.5</c:v>
                </c:pt>
                <c:pt idx="58">
                  <c:v>1039062.5</c:v>
                </c:pt>
                <c:pt idx="59">
                  <c:v>1039062.5</c:v>
                </c:pt>
                <c:pt idx="60">
                  <c:v>1039062.5</c:v>
                </c:pt>
                <c:pt idx="61">
                  <c:v>1039062.5</c:v>
                </c:pt>
                <c:pt idx="62">
                  <c:v>1039062.5</c:v>
                </c:pt>
                <c:pt idx="63">
                  <c:v>1039062.5</c:v>
                </c:pt>
                <c:pt idx="64">
                  <c:v>1039062.5</c:v>
                </c:pt>
                <c:pt idx="65">
                  <c:v>1039062.5</c:v>
                </c:pt>
                <c:pt idx="66">
                  <c:v>1039062.5</c:v>
                </c:pt>
                <c:pt idx="67">
                  <c:v>1039062.5</c:v>
                </c:pt>
                <c:pt idx="68">
                  <c:v>1039062.5</c:v>
                </c:pt>
                <c:pt idx="69">
                  <c:v>1039062.5</c:v>
                </c:pt>
                <c:pt idx="70">
                  <c:v>982500</c:v>
                </c:pt>
                <c:pt idx="71">
                  <c:v>982500</c:v>
                </c:pt>
                <c:pt idx="72">
                  <c:v>982500</c:v>
                </c:pt>
                <c:pt idx="73">
                  <c:v>982500</c:v>
                </c:pt>
                <c:pt idx="74">
                  <c:v>982500</c:v>
                </c:pt>
                <c:pt idx="75">
                  <c:v>982500</c:v>
                </c:pt>
                <c:pt idx="76">
                  <c:v>920000</c:v>
                </c:pt>
                <c:pt idx="77">
                  <c:v>920000</c:v>
                </c:pt>
                <c:pt idx="78">
                  <c:v>920000</c:v>
                </c:pt>
              </c:numCache>
            </c:numRef>
          </c:yVal>
          <c:smooth val="1"/>
        </c:ser>
        <c:dLbls>
          <c:showLegendKey val="0"/>
          <c:showVal val="0"/>
          <c:showCatName val="0"/>
          <c:showSerName val="0"/>
          <c:showPercent val="0"/>
          <c:showBubbleSize val="0"/>
        </c:dLbls>
        <c:axId val="173148800"/>
        <c:axId val="173163264"/>
      </c:scatterChart>
      <c:valAx>
        <c:axId val="173148800"/>
        <c:scaling>
          <c:orientation val="minMax"/>
          <c:min val="120"/>
        </c:scaling>
        <c:delete val="0"/>
        <c:axPos val="b"/>
        <c:title>
          <c:tx>
            <c:rich>
              <a:bodyPr/>
              <a:lstStyle/>
              <a:p>
                <a:pPr>
                  <a:defRPr sz="1100">
                    <a:latin typeface="Times New Roman" panose="02020603050405020304" pitchFamily="18" charset="0"/>
                    <a:cs typeface="Times New Roman" panose="02020603050405020304" pitchFamily="18" charset="0"/>
                  </a:defRPr>
                </a:pPr>
                <a:r>
                  <a:rPr lang="en-US" sz="1100">
                    <a:latin typeface="Times New Roman" panose="02020603050405020304" pitchFamily="18" charset="0"/>
                    <a:cs typeface="Times New Roman" panose="02020603050405020304" pitchFamily="18" charset="0"/>
                  </a:rPr>
                  <a:t>Skiekz</a:t>
                </a:r>
                <a:r>
                  <a:rPr lang="en-US" sz="1100" baseline="0">
                    <a:latin typeface="Times New Roman" panose="02020603050405020304" pitchFamily="18" charset="0"/>
                    <a:cs typeface="Times New Roman" panose="02020603050405020304" pitchFamily="18" charset="0"/>
                  </a:rPr>
                  <a:t> Sale Price</a:t>
                </a:r>
                <a:endParaRPr lang="en-US" sz="1100">
                  <a:latin typeface="Times New Roman" panose="02020603050405020304" pitchFamily="18" charset="0"/>
                  <a:cs typeface="Times New Roman" panose="02020603050405020304" pitchFamily="18" charset="0"/>
                </a:endParaRPr>
              </a:p>
            </c:rich>
          </c:tx>
          <c:overlay val="0"/>
        </c:title>
        <c:numFmt formatCode="_(&quot;$&quot;* #,##0.00_);_(&quot;$&quot;* \(#,##0.00\);_(&quot;$&quot;* &quot;-&quot;??_);_(@_)" sourceLinked="1"/>
        <c:majorTickMark val="none"/>
        <c:minorTickMark val="none"/>
        <c:tickLblPos val="nextTo"/>
        <c:txPr>
          <a:bodyPr/>
          <a:lstStyle/>
          <a:p>
            <a:pPr>
              <a:defRPr sz="1100">
                <a:latin typeface="Times New Roman" panose="02020603050405020304" pitchFamily="18" charset="0"/>
                <a:cs typeface="Times New Roman" panose="02020603050405020304" pitchFamily="18" charset="0"/>
              </a:defRPr>
            </a:pPr>
            <a:endParaRPr lang="en-US"/>
          </a:p>
        </c:txPr>
        <c:crossAx val="173163264"/>
        <c:crosses val="autoZero"/>
        <c:crossBetween val="midCat"/>
        <c:minorUnit val="4"/>
      </c:valAx>
      <c:valAx>
        <c:axId val="173163264"/>
        <c:scaling>
          <c:orientation val="minMax"/>
        </c:scaling>
        <c:delete val="0"/>
        <c:axPos val="l"/>
        <c:majorGridlines/>
        <c:title>
          <c:tx>
            <c:rich>
              <a:bodyPr/>
              <a:lstStyle/>
              <a:p>
                <a:pPr>
                  <a:defRPr sz="1100">
                    <a:latin typeface="Times New Roman" panose="02020603050405020304" pitchFamily="18" charset="0"/>
                    <a:cs typeface="Times New Roman" panose="02020603050405020304" pitchFamily="18" charset="0"/>
                  </a:defRPr>
                </a:pPr>
                <a:r>
                  <a:rPr lang="en-CA" sz="1100">
                    <a:latin typeface="Times New Roman" panose="02020603050405020304" pitchFamily="18" charset="0"/>
                    <a:cs typeface="Times New Roman" panose="02020603050405020304" pitchFamily="18" charset="0"/>
                  </a:rPr>
                  <a:t>Profit</a:t>
                </a:r>
              </a:p>
            </c:rich>
          </c:tx>
          <c:overlay val="0"/>
        </c:title>
        <c:numFmt formatCode="&quot;$&quot;#,##0.00_);[Red]\(&quot;$&quot;#,##0.00\)" sourceLinked="1"/>
        <c:majorTickMark val="none"/>
        <c:minorTickMark val="none"/>
        <c:tickLblPos val="nextTo"/>
        <c:txPr>
          <a:bodyPr/>
          <a:lstStyle/>
          <a:p>
            <a:pPr>
              <a:defRPr sz="1100">
                <a:latin typeface="Times New Roman" panose="02020603050405020304" pitchFamily="18" charset="0"/>
                <a:cs typeface="Times New Roman" panose="02020603050405020304" pitchFamily="18" charset="0"/>
              </a:defRPr>
            </a:pPr>
            <a:endParaRPr lang="en-US"/>
          </a:p>
        </c:txPr>
        <c:crossAx val="173148800"/>
        <c:crosses val="autoZero"/>
        <c:crossBetween val="midCat"/>
        <c:majorUnit val="50000"/>
      </c:valAx>
    </c:plotArea>
    <c:legend>
      <c:legendPos val="r"/>
      <c:overlay val="0"/>
      <c:txPr>
        <a:bodyPr/>
        <a:lstStyle/>
        <a:p>
          <a:pPr>
            <a:defRPr sz="1100">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CA"/>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SkiRetail Profit</c:v>
          </c:tx>
          <c:cat>
            <c:numRef>
              <c:f>'Buy Back Contract'!$B$6:$B$94</c:f>
              <c:numCache>
                <c:formatCode>_("$"* #,##0.00_);_("$"* \(#,##0.00\);_("$"* "-"??_);_(@_)</c:formatCode>
                <c:ptCount val="89"/>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pt idx="23">
                  <c:v>84</c:v>
                </c:pt>
                <c:pt idx="24">
                  <c:v>85</c:v>
                </c:pt>
                <c:pt idx="25">
                  <c:v>86</c:v>
                </c:pt>
                <c:pt idx="26">
                  <c:v>87</c:v>
                </c:pt>
                <c:pt idx="27">
                  <c:v>88</c:v>
                </c:pt>
                <c:pt idx="28">
                  <c:v>89</c:v>
                </c:pt>
                <c:pt idx="29">
                  <c:v>90</c:v>
                </c:pt>
                <c:pt idx="30">
                  <c:v>91</c:v>
                </c:pt>
                <c:pt idx="31">
                  <c:v>92</c:v>
                </c:pt>
                <c:pt idx="32">
                  <c:v>93</c:v>
                </c:pt>
                <c:pt idx="33">
                  <c:v>94</c:v>
                </c:pt>
                <c:pt idx="34">
                  <c:v>95</c:v>
                </c:pt>
                <c:pt idx="35">
                  <c:v>96</c:v>
                </c:pt>
                <c:pt idx="36">
                  <c:v>97</c:v>
                </c:pt>
                <c:pt idx="37">
                  <c:v>98</c:v>
                </c:pt>
                <c:pt idx="38">
                  <c:v>99</c:v>
                </c:pt>
                <c:pt idx="39">
                  <c:v>100</c:v>
                </c:pt>
                <c:pt idx="40">
                  <c:v>101</c:v>
                </c:pt>
                <c:pt idx="41">
                  <c:v>102</c:v>
                </c:pt>
                <c:pt idx="42">
                  <c:v>103</c:v>
                </c:pt>
                <c:pt idx="43">
                  <c:v>104</c:v>
                </c:pt>
                <c:pt idx="44">
                  <c:v>105</c:v>
                </c:pt>
                <c:pt idx="45">
                  <c:v>106</c:v>
                </c:pt>
                <c:pt idx="46">
                  <c:v>107</c:v>
                </c:pt>
                <c:pt idx="47">
                  <c:v>108</c:v>
                </c:pt>
                <c:pt idx="48">
                  <c:v>109</c:v>
                </c:pt>
                <c:pt idx="49">
                  <c:v>110</c:v>
                </c:pt>
                <c:pt idx="50">
                  <c:v>111</c:v>
                </c:pt>
                <c:pt idx="51">
                  <c:v>112</c:v>
                </c:pt>
                <c:pt idx="52">
                  <c:v>113</c:v>
                </c:pt>
                <c:pt idx="53">
                  <c:v>114</c:v>
                </c:pt>
                <c:pt idx="54">
                  <c:v>115</c:v>
                </c:pt>
                <c:pt idx="55">
                  <c:v>116</c:v>
                </c:pt>
                <c:pt idx="56">
                  <c:v>117</c:v>
                </c:pt>
                <c:pt idx="57">
                  <c:v>118</c:v>
                </c:pt>
                <c:pt idx="58">
                  <c:v>119</c:v>
                </c:pt>
                <c:pt idx="59">
                  <c:v>120</c:v>
                </c:pt>
                <c:pt idx="60">
                  <c:v>121</c:v>
                </c:pt>
                <c:pt idx="61">
                  <c:v>122</c:v>
                </c:pt>
                <c:pt idx="62">
                  <c:v>123</c:v>
                </c:pt>
                <c:pt idx="63">
                  <c:v>124</c:v>
                </c:pt>
                <c:pt idx="64">
                  <c:v>125</c:v>
                </c:pt>
                <c:pt idx="65">
                  <c:v>126</c:v>
                </c:pt>
                <c:pt idx="66">
                  <c:v>127</c:v>
                </c:pt>
                <c:pt idx="67">
                  <c:v>128</c:v>
                </c:pt>
                <c:pt idx="68">
                  <c:v>129</c:v>
                </c:pt>
                <c:pt idx="69">
                  <c:v>130</c:v>
                </c:pt>
                <c:pt idx="70">
                  <c:v>131</c:v>
                </c:pt>
                <c:pt idx="71">
                  <c:v>132</c:v>
                </c:pt>
                <c:pt idx="72">
                  <c:v>133</c:v>
                </c:pt>
                <c:pt idx="73">
                  <c:v>134</c:v>
                </c:pt>
                <c:pt idx="74">
                  <c:v>135</c:v>
                </c:pt>
                <c:pt idx="75">
                  <c:v>136</c:v>
                </c:pt>
                <c:pt idx="76">
                  <c:v>137</c:v>
                </c:pt>
                <c:pt idx="77">
                  <c:v>138</c:v>
                </c:pt>
                <c:pt idx="78">
                  <c:v>139</c:v>
                </c:pt>
                <c:pt idx="79">
                  <c:v>140</c:v>
                </c:pt>
                <c:pt idx="80">
                  <c:v>141</c:v>
                </c:pt>
                <c:pt idx="81">
                  <c:v>142</c:v>
                </c:pt>
                <c:pt idx="82">
                  <c:v>143</c:v>
                </c:pt>
                <c:pt idx="83">
                  <c:v>144</c:v>
                </c:pt>
                <c:pt idx="84">
                  <c:v>145</c:v>
                </c:pt>
                <c:pt idx="85">
                  <c:v>146</c:v>
                </c:pt>
                <c:pt idx="86">
                  <c:v>147</c:v>
                </c:pt>
                <c:pt idx="87">
                  <c:v>148</c:v>
                </c:pt>
                <c:pt idx="88">
                  <c:v>149</c:v>
                </c:pt>
              </c:numCache>
            </c:numRef>
          </c:cat>
          <c:val>
            <c:numRef>
              <c:f>'Buy Back Contract'!$F$6:$F$94</c:f>
              <c:numCache>
                <c:formatCode>"$"#,##0.00_);[Red]\("$"#,##0.00\)</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numCache>
            </c:numRef>
          </c:val>
          <c:smooth val="1"/>
        </c:ser>
        <c:ser>
          <c:idx val="1"/>
          <c:order val="1"/>
          <c:tx>
            <c:v>SkiEkz Profit</c:v>
          </c:tx>
          <c:cat>
            <c:numRef>
              <c:f>'Buy Back Contract'!$B$6:$B$94</c:f>
              <c:numCache>
                <c:formatCode>_("$"* #,##0.00_);_("$"* \(#,##0.00\);_("$"* "-"??_);_(@_)</c:formatCode>
                <c:ptCount val="89"/>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pt idx="23">
                  <c:v>84</c:v>
                </c:pt>
                <c:pt idx="24">
                  <c:v>85</c:v>
                </c:pt>
                <c:pt idx="25">
                  <c:v>86</c:v>
                </c:pt>
                <c:pt idx="26">
                  <c:v>87</c:v>
                </c:pt>
                <c:pt idx="27">
                  <c:v>88</c:v>
                </c:pt>
                <c:pt idx="28">
                  <c:v>89</c:v>
                </c:pt>
                <c:pt idx="29">
                  <c:v>90</c:v>
                </c:pt>
                <c:pt idx="30">
                  <c:v>91</c:v>
                </c:pt>
                <c:pt idx="31">
                  <c:v>92</c:v>
                </c:pt>
                <c:pt idx="32">
                  <c:v>93</c:v>
                </c:pt>
                <c:pt idx="33">
                  <c:v>94</c:v>
                </c:pt>
                <c:pt idx="34">
                  <c:v>95</c:v>
                </c:pt>
                <c:pt idx="35">
                  <c:v>96</c:v>
                </c:pt>
                <c:pt idx="36">
                  <c:v>97</c:v>
                </c:pt>
                <c:pt idx="37">
                  <c:v>98</c:v>
                </c:pt>
                <c:pt idx="38">
                  <c:v>99</c:v>
                </c:pt>
                <c:pt idx="39">
                  <c:v>100</c:v>
                </c:pt>
                <c:pt idx="40">
                  <c:v>101</c:v>
                </c:pt>
                <c:pt idx="41">
                  <c:v>102</c:v>
                </c:pt>
                <c:pt idx="42">
                  <c:v>103</c:v>
                </c:pt>
                <c:pt idx="43">
                  <c:v>104</c:v>
                </c:pt>
                <c:pt idx="44">
                  <c:v>105</c:v>
                </c:pt>
                <c:pt idx="45">
                  <c:v>106</c:v>
                </c:pt>
                <c:pt idx="46">
                  <c:v>107</c:v>
                </c:pt>
                <c:pt idx="47">
                  <c:v>108</c:v>
                </c:pt>
                <c:pt idx="48">
                  <c:v>109</c:v>
                </c:pt>
                <c:pt idx="49">
                  <c:v>110</c:v>
                </c:pt>
                <c:pt idx="50">
                  <c:v>111</c:v>
                </c:pt>
                <c:pt idx="51">
                  <c:v>112</c:v>
                </c:pt>
                <c:pt idx="52">
                  <c:v>113</c:v>
                </c:pt>
                <c:pt idx="53">
                  <c:v>114</c:v>
                </c:pt>
                <c:pt idx="54">
                  <c:v>115</c:v>
                </c:pt>
                <c:pt idx="55">
                  <c:v>116</c:v>
                </c:pt>
                <c:pt idx="56">
                  <c:v>117</c:v>
                </c:pt>
                <c:pt idx="57">
                  <c:v>118</c:v>
                </c:pt>
                <c:pt idx="58">
                  <c:v>119</c:v>
                </c:pt>
                <c:pt idx="59">
                  <c:v>120</c:v>
                </c:pt>
                <c:pt idx="60">
                  <c:v>121</c:v>
                </c:pt>
                <c:pt idx="61">
                  <c:v>122</c:v>
                </c:pt>
                <c:pt idx="62">
                  <c:v>123</c:v>
                </c:pt>
                <c:pt idx="63">
                  <c:v>124</c:v>
                </c:pt>
                <c:pt idx="64">
                  <c:v>125</c:v>
                </c:pt>
                <c:pt idx="65">
                  <c:v>126</c:v>
                </c:pt>
                <c:pt idx="66">
                  <c:v>127</c:v>
                </c:pt>
                <c:pt idx="67">
                  <c:v>128</c:v>
                </c:pt>
                <c:pt idx="68">
                  <c:v>129</c:v>
                </c:pt>
                <c:pt idx="69">
                  <c:v>130</c:v>
                </c:pt>
                <c:pt idx="70">
                  <c:v>131</c:v>
                </c:pt>
                <c:pt idx="71">
                  <c:v>132</c:v>
                </c:pt>
                <c:pt idx="72">
                  <c:v>133</c:v>
                </c:pt>
                <c:pt idx="73">
                  <c:v>134</c:v>
                </c:pt>
                <c:pt idx="74">
                  <c:v>135</c:v>
                </c:pt>
                <c:pt idx="75">
                  <c:v>136</c:v>
                </c:pt>
                <c:pt idx="76">
                  <c:v>137</c:v>
                </c:pt>
                <c:pt idx="77">
                  <c:v>138</c:v>
                </c:pt>
                <c:pt idx="78">
                  <c:v>139</c:v>
                </c:pt>
                <c:pt idx="79">
                  <c:v>140</c:v>
                </c:pt>
                <c:pt idx="80">
                  <c:v>141</c:v>
                </c:pt>
                <c:pt idx="81">
                  <c:v>142</c:v>
                </c:pt>
                <c:pt idx="82">
                  <c:v>143</c:v>
                </c:pt>
                <c:pt idx="83">
                  <c:v>144</c:v>
                </c:pt>
                <c:pt idx="84">
                  <c:v>145</c:v>
                </c:pt>
                <c:pt idx="85">
                  <c:v>146</c:v>
                </c:pt>
                <c:pt idx="86">
                  <c:v>147</c:v>
                </c:pt>
                <c:pt idx="87">
                  <c:v>148</c:v>
                </c:pt>
                <c:pt idx="88">
                  <c:v>149</c:v>
                </c:pt>
              </c:numCache>
            </c:numRef>
          </c:cat>
          <c:val>
            <c:numRef>
              <c:f>'Buy Back Contract'!$G$6:$G$94</c:f>
              <c:numCache>
                <c:formatCode>"$"#,##0.00_);[Red]\("$"#,##0.00\)</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numCache>
            </c:numRef>
          </c:val>
          <c:smooth val="1"/>
        </c:ser>
        <c:ser>
          <c:idx val="2"/>
          <c:order val="2"/>
          <c:tx>
            <c:v>Total Supply Chain Profit</c:v>
          </c:tx>
          <c:cat>
            <c:numRef>
              <c:f>'Buy Back Contract'!$B$6:$B$94</c:f>
              <c:numCache>
                <c:formatCode>_("$"* #,##0.00_);_("$"* \(#,##0.00\);_("$"* "-"??_);_(@_)</c:formatCode>
                <c:ptCount val="89"/>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pt idx="23">
                  <c:v>84</c:v>
                </c:pt>
                <c:pt idx="24">
                  <c:v>85</c:v>
                </c:pt>
                <c:pt idx="25">
                  <c:v>86</c:v>
                </c:pt>
                <c:pt idx="26">
                  <c:v>87</c:v>
                </c:pt>
                <c:pt idx="27">
                  <c:v>88</c:v>
                </c:pt>
                <c:pt idx="28">
                  <c:v>89</c:v>
                </c:pt>
                <c:pt idx="29">
                  <c:v>90</c:v>
                </c:pt>
                <c:pt idx="30">
                  <c:v>91</c:v>
                </c:pt>
                <c:pt idx="31">
                  <c:v>92</c:v>
                </c:pt>
                <c:pt idx="32">
                  <c:v>93</c:v>
                </c:pt>
                <c:pt idx="33">
                  <c:v>94</c:v>
                </c:pt>
                <c:pt idx="34">
                  <c:v>95</c:v>
                </c:pt>
                <c:pt idx="35">
                  <c:v>96</c:v>
                </c:pt>
                <c:pt idx="36">
                  <c:v>97</c:v>
                </c:pt>
                <c:pt idx="37">
                  <c:v>98</c:v>
                </c:pt>
                <c:pt idx="38">
                  <c:v>99</c:v>
                </c:pt>
                <c:pt idx="39">
                  <c:v>100</c:v>
                </c:pt>
                <c:pt idx="40">
                  <c:v>101</c:v>
                </c:pt>
                <c:pt idx="41">
                  <c:v>102</c:v>
                </c:pt>
                <c:pt idx="42">
                  <c:v>103</c:v>
                </c:pt>
                <c:pt idx="43">
                  <c:v>104</c:v>
                </c:pt>
                <c:pt idx="44">
                  <c:v>105</c:v>
                </c:pt>
                <c:pt idx="45">
                  <c:v>106</c:v>
                </c:pt>
                <c:pt idx="46">
                  <c:v>107</c:v>
                </c:pt>
                <c:pt idx="47">
                  <c:v>108</c:v>
                </c:pt>
                <c:pt idx="48">
                  <c:v>109</c:v>
                </c:pt>
                <c:pt idx="49">
                  <c:v>110</c:v>
                </c:pt>
                <c:pt idx="50">
                  <c:v>111</c:v>
                </c:pt>
                <c:pt idx="51">
                  <c:v>112</c:v>
                </c:pt>
                <c:pt idx="52">
                  <c:v>113</c:v>
                </c:pt>
                <c:pt idx="53">
                  <c:v>114</c:v>
                </c:pt>
                <c:pt idx="54">
                  <c:v>115</c:v>
                </c:pt>
                <c:pt idx="55">
                  <c:v>116</c:v>
                </c:pt>
                <c:pt idx="56">
                  <c:v>117</c:v>
                </c:pt>
                <c:pt idx="57">
                  <c:v>118</c:v>
                </c:pt>
                <c:pt idx="58">
                  <c:v>119</c:v>
                </c:pt>
                <c:pt idx="59">
                  <c:v>120</c:v>
                </c:pt>
                <c:pt idx="60">
                  <c:v>121</c:v>
                </c:pt>
                <c:pt idx="61">
                  <c:v>122</c:v>
                </c:pt>
                <c:pt idx="62">
                  <c:v>123</c:v>
                </c:pt>
                <c:pt idx="63">
                  <c:v>124</c:v>
                </c:pt>
                <c:pt idx="64">
                  <c:v>125</c:v>
                </c:pt>
                <c:pt idx="65">
                  <c:v>126</c:v>
                </c:pt>
                <c:pt idx="66">
                  <c:v>127</c:v>
                </c:pt>
                <c:pt idx="67">
                  <c:v>128</c:v>
                </c:pt>
                <c:pt idx="68">
                  <c:v>129</c:v>
                </c:pt>
                <c:pt idx="69">
                  <c:v>130</c:v>
                </c:pt>
                <c:pt idx="70">
                  <c:v>131</c:v>
                </c:pt>
                <c:pt idx="71">
                  <c:v>132</c:v>
                </c:pt>
                <c:pt idx="72">
                  <c:v>133</c:v>
                </c:pt>
                <c:pt idx="73">
                  <c:v>134</c:v>
                </c:pt>
                <c:pt idx="74">
                  <c:v>135</c:v>
                </c:pt>
                <c:pt idx="75">
                  <c:v>136</c:v>
                </c:pt>
                <c:pt idx="76">
                  <c:v>137</c:v>
                </c:pt>
                <c:pt idx="77">
                  <c:v>138</c:v>
                </c:pt>
                <c:pt idx="78">
                  <c:v>139</c:v>
                </c:pt>
                <c:pt idx="79">
                  <c:v>140</c:v>
                </c:pt>
                <c:pt idx="80">
                  <c:v>141</c:v>
                </c:pt>
                <c:pt idx="81">
                  <c:v>142</c:v>
                </c:pt>
                <c:pt idx="82">
                  <c:v>143</c:v>
                </c:pt>
                <c:pt idx="83">
                  <c:v>144</c:v>
                </c:pt>
                <c:pt idx="84">
                  <c:v>145</c:v>
                </c:pt>
                <c:pt idx="85">
                  <c:v>146</c:v>
                </c:pt>
                <c:pt idx="86">
                  <c:v>147</c:v>
                </c:pt>
                <c:pt idx="87">
                  <c:v>148</c:v>
                </c:pt>
                <c:pt idx="88">
                  <c:v>149</c:v>
                </c:pt>
              </c:numCache>
            </c:numRef>
          </c:cat>
          <c:val>
            <c:numRef>
              <c:f>'Buy Back Contract'!$H$6:$H$94</c:f>
              <c:numCache>
                <c:formatCode>"$"#,##0.00_);[Red]\("$"#,##0.00\)</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numCache>
            </c:numRef>
          </c:val>
          <c:smooth val="1"/>
        </c:ser>
        <c:dLbls>
          <c:showLegendKey val="0"/>
          <c:showVal val="0"/>
          <c:showCatName val="0"/>
          <c:showSerName val="0"/>
          <c:showPercent val="0"/>
          <c:showBubbleSize val="0"/>
        </c:dLbls>
        <c:marker val="1"/>
        <c:smooth val="0"/>
        <c:axId val="173100416"/>
        <c:axId val="173102208"/>
      </c:lineChart>
      <c:catAx>
        <c:axId val="173100416"/>
        <c:scaling>
          <c:orientation val="minMax"/>
        </c:scaling>
        <c:delete val="0"/>
        <c:axPos val="b"/>
        <c:numFmt formatCode="_(&quot;$&quot;* #,##0.00_);_(&quot;$&quot;* \(#,##0.00\);_(&quot;$&quot;* &quot;-&quot;??_);_(@_)" sourceLinked="1"/>
        <c:majorTickMark val="out"/>
        <c:minorTickMark val="none"/>
        <c:tickLblPos val="nextTo"/>
        <c:txPr>
          <a:bodyPr rot="2700000" vert="horz"/>
          <a:lstStyle/>
          <a:p>
            <a:pPr>
              <a:defRPr sz="1000">
                <a:solidFill>
                  <a:schemeClr val="tx1">
                    <a:lumMod val="95000"/>
                    <a:lumOff val="5000"/>
                  </a:schemeClr>
                </a:solidFill>
                <a:latin typeface="Times New Roman" panose="02020603050405020304" pitchFamily="18" charset="0"/>
                <a:cs typeface="Times New Roman" panose="02020603050405020304" pitchFamily="18" charset="0"/>
              </a:defRPr>
            </a:pPr>
            <a:endParaRPr lang="en-US"/>
          </a:p>
        </c:txPr>
        <c:crossAx val="173102208"/>
        <c:crosses val="autoZero"/>
        <c:auto val="1"/>
        <c:lblAlgn val="ctr"/>
        <c:lblOffset val="100"/>
        <c:noMultiLvlLbl val="0"/>
      </c:catAx>
      <c:valAx>
        <c:axId val="173102208"/>
        <c:scaling>
          <c:orientation val="minMax"/>
        </c:scaling>
        <c:delete val="0"/>
        <c:axPos val="l"/>
        <c:majorGridlines/>
        <c:numFmt formatCode="&quot;$&quot;#,##0.00_);[Red]\(&quot;$&quot;#,##0.00\)" sourceLinked="1"/>
        <c:majorTickMark val="out"/>
        <c:minorTickMark val="none"/>
        <c:tickLblPos val="nextTo"/>
        <c:txPr>
          <a:bodyPr/>
          <a:lstStyle/>
          <a:p>
            <a:pPr>
              <a:defRPr>
                <a:latin typeface="Times New Roman" panose="02020603050405020304" pitchFamily="18" charset="0"/>
                <a:cs typeface="Times New Roman" panose="02020603050405020304" pitchFamily="18" charset="0"/>
              </a:defRPr>
            </a:pPr>
            <a:endParaRPr lang="en-US"/>
          </a:p>
        </c:txPr>
        <c:crossAx val="173100416"/>
        <c:crosses val="autoZero"/>
        <c:crossBetween val="between"/>
        <c:majorUnit val="25000"/>
      </c:valAx>
    </c:plotArea>
    <c:legend>
      <c:legendPos val="r"/>
      <c:overlay val="0"/>
      <c:txPr>
        <a:bodyPr/>
        <a:lstStyle/>
        <a:p>
          <a:pPr>
            <a:defRPr sz="1200">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9524</xdr:colOff>
      <xdr:row>1</xdr:row>
      <xdr:rowOff>9524</xdr:rowOff>
    </xdr:from>
    <xdr:to>
      <xdr:col>13</xdr:col>
      <xdr:colOff>76200</xdr:colOff>
      <xdr:row>15</xdr:row>
      <xdr:rowOff>9524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9524</xdr:rowOff>
    </xdr:from>
    <xdr:to>
      <xdr:col>24</xdr:col>
      <xdr:colOff>312965</xdr:colOff>
      <xdr:row>34</xdr:row>
      <xdr:rowOff>13607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190501</xdr:colOff>
      <xdr:row>6</xdr:row>
      <xdr:rowOff>9527</xdr:rowOff>
    </xdr:from>
    <xdr:to>
      <xdr:col>10</xdr:col>
      <xdr:colOff>581025</xdr:colOff>
      <xdr:row>38</xdr:row>
      <xdr:rowOff>200026</xdr:rowOff>
    </xdr:to>
    <xdr:sp macro="" textlink="">
      <xdr:nvSpPr>
        <xdr:cNvPr id="2" name="Chevron 1"/>
        <xdr:cNvSpPr/>
      </xdr:nvSpPr>
      <xdr:spPr>
        <a:xfrm>
          <a:off x="7515226" y="1266827"/>
          <a:ext cx="1000124" cy="7610474"/>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104774</xdr:colOff>
      <xdr:row>43</xdr:row>
      <xdr:rowOff>9524</xdr:rowOff>
    </xdr:from>
    <xdr:to>
      <xdr:col>8</xdr:col>
      <xdr:colOff>685799</xdr:colOff>
      <xdr:row>49</xdr:row>
      <xdr:rowOff>200025</xdr:rowOff>
    </xdr:to>
    <xdr:sp macro="" textlink="">
      <xdr:nvSpPr>
        <xdr:cNvPr id="4" name="Chevron 3"/>
        <xdr:cNvSpPr/>
      </xdr:nvSpPr>
      <xdr:spPr>
        <a:xfrm>
          <a:off x="9010649" y="9477374"/>
          <a:ext cx="581025" cy="1447801"/>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chemeClr val="tx1"/>
            </a:solidFill>
          </a:endParaRPr>
        </a:p>
      </xdr:txBody>
    </xdr:sp>
    <xdr:clientData/>
  </xdr:twoCellAnchor>
  <xdr:twoCellAnchor>
    <xdr:from>
      <xdr:col>0</xdr:col>
      <xdr:colOff>95250</xdr:colOff>
      <xdr:row>89</xdr:row>
      <xdr:rowOff>38099</xdr:rowOff>
    </xdr:from>
    <xdr:to>
      <xdr:col>7</xdr:col>
      <xdr:colOff>1362075</xdr:colOff>
      <xdr:row>110</xdr:row>
      <xdr:rowOff>171450</xdr:rowOff>
    </xdr:to>
    <xdr:grpSp>
      <xdr:nvGrpSpPr>
        <xdr:cNvPr id="33" name="Group 32"/>
        <xdr:cNvGrpSpPr/>
      </xdr:nvGrpSpPr>
      <xdr:grpSpPr>
        <a:xfrm>
          <a:off x="95250" y="19145249"/>
          <a:ext cx="8582025" cy="4533901"/>
          <a:chOff x="95250" y="19002374"/>
          <a:chExt cx="8582025" cy="4533901"/>
        </a:xfrm>
      </xdr:grpSpPr>
      <xdr:grpSp>
        <xdr:nvGrpSpPr>
          <xdr:cNvPr id="26" name="Group 25"/>
          <xdr:cNvGrpSpPr/>
        </xdr:nvGrpSpPr>
        <xdr:grpSpPr>
          <a:xfrm>
            <a:off x="95250" y="19002374"/>
            <a:ext cx="8582025" cy="4533901"/>
            <a:chOff x="95250" y="19002374"/>
            <a:chExt cx="8582025" cy="4533901"/>
          </a:xfrm>
        </xdr:grpSpPr>
        <xdr:grpSp>
          <xdr:nvGrpSpPr>
            <xdr:cNvPr id="14" name="Group 13"/>
            <xdr:cNvGrpSpPr/>
          </xdr:nvGrpSpPr>
          <xdr:grpSpPr>
            <a:xfrm>
              <a:off x="95250" y="19002374"/>
              <a:ext cx="8582025" cy="4533901"/>
              <a:chOff x="95250" y="19002374"/>
              <a:chExt cx="8582025" cy="4533901"/>
            </a:xfrm>
          </xdr:grpSpPr>
          <xdr:graphicFrame macro="">
            <xdr:nvGraphicFramePr>
              <xdr:cNvPr id="2" name="Chart 1"/>
              <xdr:cNvGraphicFramePr/>
            </xdr:nvGraphicFramePr>
            <xdr:xfrm>
              <a:off x="95250" y="19002374"/>
              <a:ext cx="8582025" cy="4533901"/>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6" name="Straight Connector 5"/>
              <xdr:cNvCxnSpPr/>
            </xdr:nvCxnSpPr>
            <xdr:spPr>
              <a:xfrm flipV="1">
                <a:off x="1428750" y="19116675"/>
                <a:ext cx="0" cy="4572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Straight Connector 6"/>
              <xdr:cNvCxnSpPr/>
            </xdr:nvCxnSpPr>
            <xdr:spPr>
              <a:xfrm flipV="1">
                <a:off x="2628900" y="19145250"/>
                <a:ext cx="0" cy="4572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xdr:cNvCxnSpPr/>
            </xdr:nvCxnSpPr>
            <xdr:spPr>
              <a:xfrm flipV="1">
                <a:off x="2981325" y="19173825"/>
                <a:ext cx="0" cy="4572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Straight Connector 8"/>
              <xdr:cNvCxnSpPr/>
            </xdr:nvCxnSpPr>
            <xdr:spPr>
              <a:xfrm flipV="1">
                <a:off x="3314700" y="19221450"/>
                <a:ext cx="0" cy="4572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xdr:cNvCxnSpPr/>
            </xdr:nvCxnSpPr>
            <xdr:spPr>
              <a:xfrm flipV="1">
                <a:off x="4362450" y="19269075"/>
                <a:ext cx="0" cy="4572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xdr:nvCxnSpPr>
            <xdr:spPr>
              <a:xfrm flipV="1">
                <a:off x="5476875" y="19373850"/>
                <a:ext cx="0" cy="4572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xdr:nvCxnSpPr>
            <xdr:spPr>
              <a:xfrm flipV="1">
                <a:off x="5819775" y="19345275"/>
                <a:ext cx="0" cy="6572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xdr:cNvCxnSpPr/>
            </xdr:nvCxnSpPr>
            <xdr:spPr>
              <a:xfrm flipV="1">
                <a:off x="6019800" y="19326225"/>
                <a:ext cx="0" cy="895350"/>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
          <xdr:nvSpPr>
            <xdr:cNvPr id="17" name="TextBox 16"/>
            <xdr:cNvSpPr txBox="1"/>
          </xdr:nvSpPr>
          <xdr:spPr>
            <a:xfrm>
              <a:off x="1352550" y="19030951"/>
              <a:ext cx="314325" cy="685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noAutofit/>
            </a:bodyPr>
            <a:lstStyle/>
            <a:p>
              <a:r>
                <a:rPr lang="en-CA" sz="1000" b="1">
                  <a:latin typeface="Arial Narrow" panose="020B0606020202030204" pitchFamily="34" charset="0"/>
                </a:rPr>
                <a:t>Qty = 17000</a:t>
              </a:r>
            </a:p>
          </xdr:txBody>
        </xdr:sp>
        <xdr:sp macro="" textlink="">
          <xdr:nvSpPr>
            <xdr:cNvPr id="18" name="TextBox 17"/>
            <xdr:cNvSpPr txBox="1"/>
          </xdr:nvSpPr>
          <xdr:spPr>
            <a:xfrm>
              <a:off x="1638300" y="19049999"/>
              <a:ext cx="477054" cy="638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noAutofit/>
            </a:bodyPr>
            <a:lstStyle/>
            <a:p>
              <a:r>
                <a:rPr lang="en-CA" sz="1000" b="1">
                  <a:latin typeface="Arial Narrow" panose="020B0606020202030204" pitchFamily="34" charset="0"/>
                </a:rPr>
                <a:t>Qty = 16000</a:t>
              </a:r>
            </a:p>
          </xdr:txBody>
        </xdr:sp>
        <xdr:sp macro="" textlink="">
          <xdr:nvSpPr>
            <xdr:cNvPr id="19" name="TextBox 18"/>
            <xdr:cNvSpPr txBox="1"/>
          </xdr:nvSpPr>
          <xdr:spPr>
            <a:xfrm>
              <a:off x="1924050" y="19269075"/>
              <a:ext cx="772263" cy="239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000" b="1">
                  <a:latin typeface="Arial Narrow" panose="020B0606020202030204" pitchFamily="34" charset="0"/>
                </a:rPr>
                <a:t>Qty = 15000</a:t>
              </a:r>
            </a:p>
          </xdr:txBody>
        </xdr:sp>
        <xdr:sp macro="" textlink="">
          <xdr:nvSpPr>
            <xdr:cNvPr id="21" name="TextBox 20"/>
            <xdr:cNvSpPr txBox="1"/>
          </xdr:nvSpPr>
          <xdr:spPr>
            <a:xfrm>
              <a:off x="2657476" y="19021425"/>
              <a:ext cx="285750" cy="666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noAutofit/>
            </a:bodyPr>
            <a:lstStyle/>
            <a:p>
              <a:r>
                <a:rPr lang="en-CA" sz="1000" b="1">
                  <a:latin typeface="Arial Narrow" panose="020B0606020202030204" pitchFamily="34" charset="0"/>
                </a:rPr>
                <a:t>Qty = 14000</a:t>
              </a:r>
            </a:p>
          </xdr:txBody>
        </xdr:sp>
        <xdr:sp macro="" textlink="">
          <xdr:nvSpPr>
            <xdr:cNvPr id="22" name="TextBox 21"/>
            <xdr:cNvSpPr txBox="1"/>
          </xdr:nvSpPr>
          <xdr:spPr>
            <a:xfrm>
              <a:off x="2981325" y="19050000"/>
              <a:ext cx="285750" cy="676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noAutofit/>
            </a:bodyPr>
            <a:lstStyle/>
            <a:p>
              <a:r>
                <a:rPr lang="en-CA" sz="1000" b="1">
                  <a:latin typeface="Arial Narrow" panose="020B0606020202030204" pitchFamily="34" charset="0"/>
                </a:rPr>
                <a:t>Qty = 13000</a:t>
              </a:r>
            </a:p>
          </xdr:txBody>
        </xdr:sp>
        <xdr:sp macro="" textlink="">
          <xdr:nvSpPr>
            <xdr:cNvPr id="23" name="TextBox 22"/>
            <xdr:cNvSpPr txBox="1"/>
          </xdr:nvSpPr>
          <xdr:spPr>
            <a:xfrm>
              <a:off x="3419475" y="19431000"/>
              <a:ext cx="772263" cy="239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000" b="1">
                  <a:latin typeface="Arial Narrow" panose="020B0606020202030204" pitchFamily="34" charset="0"/>
                </a:rPr>
                <a:t>Qty = 12000</a:t>
              </a:r>
            </a:p>
          </xdr:txBody>
        </xdr:sp>
        <xdr:sp macro="" textlink="">
          <xdr:nvSpPr>
            <xdr:cNvPr id="24" name="TextBox 23"/>
            <xdr:cNvSpPr txBox="1"/>
          </xdr:nvSpPr>
          <xdr:spPr>
            <a:xfrm>
              <a:off x="4448175" y="19554825"/>
              <a:ext cx="772263" cy="239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000" b="1">
                  <a:latin typeface="Arial Narrow" panose="020B0606020202030204" pitchFamily="34" charset="0"/>
                </a:rPr>
                <a:t>Qty</a:t>
              </a:r>
              <a:r>
                <a:rPr lang="en-CA" sz="1000" b="1" baseline="0">
                  <a:latin typeface="Arial Narrow" panose="020B0606020202030204" pitchFamily="34" charset="0"/>
                </a:rPr>
                <a:t> = </a:t>
              </a:r>
              <a:r>
                <a:rPr lang="en-CA" sz="1000" b="1">
                  <a:latin typeface="Arial Narrow" panose="020B0606020202030204" pitchFamily="34" charset="0"/>
                </a:rPr>
                <a:t>11000</a:t>
              </a:r>
            </a:p>
          </xdr:txBody>
        </xdr:sp>
        <xdr:sp macro="" textlink="">
          <xdr:nvSpPr>
            <xdr:cNvPr id="25" name="TextBox 24"/>
            <xdr:cNvSpPr txBox="1"/>
          </xdr:nvSpPr>
          <xdr:spPr>
            <a:xfrm>
              <a:off x="5476875" y="19288125"/>
              <a:ext cx="285750" cy="752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noAutofit/>
            </a:bodyPr>
            <a:lstStyle/>
            <a:p>
              <a:r>
                <a:rPr lang="en-CA" sz="1000" b="1">
                  <a:latin typeface="Arial Narrow" panose="020B0606020202030204" pitchFamily="34" charset="0"/>
                </a:rPr>
                <a:t>Qty = 10000</a:t>
              </a:r>
            </a:p>
          </xdr:txBody>
        </xdr:sp>
      </xdr:grpSp>
      <xdr:cxnSp macro="">
        <xdr:nvCxnSpPr>
          <xdr:cNvPr id="27" name="Straight Connector 26"/>
          <xdr:cNvCxnSpPr/>
        </xdr:nvCxnSpPr>
        <xdr:spPr>
          <a:xfrm flipH="1" flipV="1">
            <a:off x="1666875" y="19116675"/>
            <a:ext cx="1" cy="49530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8" name="Straight Connector 27"/>
          <xdr:cNvCxnSpPr/>
        </xdr:nvCxnSpPr>
        <xdr:spPr>
          <a:xfrm flipV="1">
            <a:off x="1943100" y="19154775"/>
            <a:ext cx="0" cy="4572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32" name="TextBox 31"/>
          <xdr:cNvSpPr txBox="1"/>
        </xdr:nvSpPr>
        <xdr:spPr>
          <a:xfrm>
            <a:off x="5772150" y="19335749"/>
            <a:ext cx="285750" cy="752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noAutofit/>
          </a:bodyPr>
          <a:lstStyle/>
          <a:p>
            <a:r>
              <a:rPr lang="en-CA" sz="1000" b="1">
                <a:latin typeface="Arial Narrow" panose="020B0606020202030204" pitchFamily="34" charset="0"/>
              </a:rPr>
              <a:t>Qty = 9000</a:t>
            </a:r>
          </a:p>
        </xdr:txBody>
      </xdr:sp>
    </xdr:grpSp>
    <xdr:clientData/>
  </xdr:twoCellAnchor>
</xdr:wsDr>
</file>

<file path=xl/drawings/drawing5.xml><?xml version="1.0" encoding="utf-8"?>
<c:userShapes xmlns:c="http://schemas.openxmlformats.org/drawingml/2006/chart">
  <cdr:relSizeAnchor xmlns:cdr="http://schemas.openxmlformats.org/drawingml/2006/chartDrawing">
    <cdr:from>
      <cdr:x>0.7512</cdr:x>
      <cdr:y>0.92773</cdr:y>
    </cdr:from>
    <cdr:to>
      <cdr:x>0.84306</cdr:x>
      <cdr:y>0.98047</cdr:y>
    </cdr:to>
    <cdr:sp macro="" textlink="">
      <cdr:nvSpPr>
        <cdr:cNvPr id="2" name="TextBox 1"/>
        <cdr:cNvSpPr txBox="1"/>
      </cdr:nvSpPr>
      <cdr:spPr>
        <a:xfrm xmlns:a="http://schemas.openxmlformats.org/drawingml/2006/main">
          <a:off x="7477126" y="4524376"/>
          <a:ext cx="914400" cy="2571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CA" sz="1100"/>
        </a:p>
      </cdr:txBody>
    </cdr:sp>
  </cdr:relSizeAnchor>
</c:userShapes>
</file>

<file path=xl/drawings/drawing6.xml><?xml version="1.0" encoding="utf-8"?>
<xdr:wsDr xmlns:xdr="http://schemas.openxmlformats.org/drawingml/2006/spreadsheetDrawing" xmlns:a="http://schemas.openxmlformats.org/drawingml/2006/main">
  <xdr:twoCellAnchor>
    <xdr:from>
      <xdr:col>8</xdr:col>
      <xdr:colOff>28575</xdr:colOff>
      <xdr:row>61</xdr:row>
      <xdr:rowOff>9526</xdr:rowOff>
    </xdr:from>
    <xdr:to>
      <xdr:col>8</xdr:col>
      <xdr:colOff>561975</xdr:colOff>
      <xdr:row>76</xdr:row>
      <xdr:rowOff>209550</xdr:rowOff>
    </xdr:to>
    <xdr:sp macro="" textlink="">
      <xdr:nvSpPr>
        <xdr:cNvPr id="4" name="Pentagon 3"/>
        <xdr:cNvSpPr/>
      </xdr:nvSpPr>
      <xdr:spPr>
        <a:xfrm>
          <a:off x="9486900" y="13068301"/>
          <a:ext cx="533400" cy="3343274"/>
        </a:xfrm>
        <a:prstGeom prst="homePlate">
          <a:avLst>
            <a:gd name="adj" fmla="val 52174"/>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en-CA" sz="1100"/>
        </a:p>
      </xdr:txBody>
    </xdr:sp>
    <xdr:clientData/>
  </xdr:twoCellAnchor>
  <xdr:twoCellAnchor>
    <xdr:from>
      <xdr:col>0</xdr:col>
      <xdr:colOff>85722</xdr:colOff>
      <xdr:row>94</xdr:row>
      <xdr:rowOff>180974</xdr:rowOff>
    </xdr:from>
    <xdr:to>
      <xdr:col>7</xdr:col>
      <xdr:colOff>904875</xdr:colOff>
      <xdr:row>128</xdr:row>
      <xdr:rowOff>19049</xdr:rowOff>
    </xdr:to>
    <xdr:grpSp>
      <xdr:nvGrpSpPr>
        <xdr:cNvPr id="3" name="Group 2"/>
        <xdr:cNvGrpSpPr/>
      </xdr:nvGrpSpPr>
      <xdr:grpSpPr>
        <a:xfrm>
          <a:off x="85722" y="20145374"/>
          <a:ext cx="8820153" cy="6962775"/>
          <a:chOff x="85722" y="20145374"/>
          <a:chExt cx="8820153" cy="6962775"/>
        </a:xfrm>
      </xdr:grpSpPr>
      <xdr:graphicFrame macro="">
        <xdr:nvGraphicFramePr>
          <xdr:cNvPr id="2" name="Chart 1"/>
          <xdr:cNvGraphicFramePr/>
        </xdr:nvGraphicFramePr>
        <xdr:xfrm>
          <a:off x="85722" y="20145374"/>
          <a:ext cx="8820153" cy="696277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5" name="TextBox 1"/>
          <xdr:cNvSpPr txBox="1"/>
        </xdr:nvSpPr>
        <xdr:spPr>
          <a:xfrm>
            <a:off x="4457700" y="20859750"/>
            <a:ext cx="1533525" cy="2457450"/>
          </a:xfrm>
          <a:prstGeom prst="rect">
            <a:avLst/>
          </a:prstGeom>
          <a:solidFill>
            <a:schemeClr val="accent1">
              <a:alpha val="59000"/>
            </a:schemeClr>
          </a:solidFill>
          <a:ln>
            <a:solidFill>
              <a:schemeClr val="accent1"/>
            </a:solidFill>
          </a:ln>
        </xdr:spPr>
        <xdr:txBody>
          <a:bodyPr vert="vert270"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CA" sz="1100" b="1"/>
              <a:t>ORDER</a:t>
            </a:r>
            <a:r>
              <a:rPr lang="en-CA" sz="1100" b="1" baseline="0"/>
              <a:t> QUANTITY = 12,000 UNITS</a:t>
            </a:r>
            <a:endParaRPr lang="en-CA" sz="1100" b="1"/>
          </a:p>
        </xdr:txBody>
      </xdr:sp>
      <xdr:sp macro="" textlink="">
        <xdr:nvSpPr>
          <xdr:cNvPr id="6" name="TextBox 1"/>
          <xdr:cNvSpPr txBox="1"/>
        </xdr:nvSpPr>
        <xdr:spPr>
          <a:xfrm>
            <a:off x="6086476" y="20869274"/>
            <a:ext cx="323850" cy="2638425"/>
          </a:xfrm>
          <a:prstGeom prst="rect">
            <a:avLst/>
          </a:prstGeom>
          <a:solidFill>
            <a:schemeClr val="accent1">
              <a:lumMod val="20000"/>
              <a:lumOff val="80000"/>
              <a:alpha val="59000"/>
            </a:schemeClr>
          </a:solidFill>
          <a:ln>
            <a:solidFill>
              <a:schemeClr val="accent1"/>
            </a:solidFill>
          </a:ln>
        </xdr:spPr>
        <xdr:txBody>
          <a:bodyPr vert="vert270"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CA" sz="1100" b="1"/>
              <a:t>ORDER</a:t>
            </a:r>
            <a:r>
              <a:rPr lang="en-CA" sz="1100" b="1" baseline="0"/>
              <a:t> QUANTITY = 13,000 UNITS</a:t>
            </a:r>
            <a:endParaRPr lang="en-CA" sz="1100" b="1"/>
          </a:p>
        </xdr:txBody>
      </xdr:sp>
    </xdr:grpSp>
    <xdr:clientData/>
  </xdr:twoCellAnchor>
</xdr:wsDr>
</file>

<file path=xl/drawings/drawing7.xml><?xml version="1.0" encoding="utf-8"?>
<c:userShapes xmlns:c="http://schemas.openxmlformats.org/drawingml/2006/chart">
  <cdr:relSizeAnchor xmlns:cdr="http://schemas.openxmlformats.org/drawingml/2006/chartDrawing">
    <cdr:from>
      <cdr:x>0.11123</cdr:x>
      <cdr:y>0.16142</cdr:y>
    </cdr:from>
    <cdr:to>
      <cdr:x>0.17927</cdr:x>
      <cdr:y>0.47606</cdr:y>
    </cdr:to>
    <cdr:sp macro="" textlink="">
      <cdr:nvSpPr>
        <cdr:cNvPr id="2" name="TextBox 1"/>
        <cdr:cNvSpPr txBox="1"/>
      </cdr:nvSpPr>
      <cdr:spPr>
        <a:xfrm xmlns:a="http://schemas.openxmlformats.org/drawingml/2006/main">
          <a:off x="981078" y="1123951"/>
          <a:ext cx="600075" cy="2190750"/>
        </a:xfrm>
        <a:prstGeom xmlns:a="http://schemas.openxmlformats.org/drawingml/2006/main" prst="rect">
          <a:avLst/>
        </a:prstGeom>
        <a:solidFill xmlns:a="http://schemas.openxmlformats.org/drawingml/2006/main">
          <a:schemeClr val="accent1">
            <a:alpha val="59000"/>
          </a:schemeClr>
        </a:solidFill>
        <a:ln xmlns:a="http://schemas.openxmlformats.org/drawingml/2006/main">
          <a:solidFill>
            <a:schemeClr val="accent1"/>
          </a:solidFill>
        </a:ln>
      </cdr:spPr>
      <cdr:txBody>
        <a:bodyPr xmlns:a="http://schemas.openxmlformats.org/drawingml/2006/main" vertOverflow="clip" vert="vert270" wrap="square" rtlCol="0"/>
        <a:lstStyle xmlns:a="http://schemas.openxmlformats.org/drawingml/2006/main"/>
        <a:p xmlns:a="http://schemas.openxmlformats.org/drawingml/2006/main">
          <a:r>
            <a:rPr lang="en-CA" sz="1100" b="1"/>
            <a:t>ORDER</a:t>
          </a:r>
          <a:r>
            <a:rPr lang="en-CA" sz="1100" b="1" baseline="0"/>
            <a:t> QUANTITY = 10,000 UNITS</a:t>
          </a:r>
          <a:endParaRPr lang="en-CA" sz="1100" b="1"/>
        </a:p>
      </cdr:txBody>
    </cdr:sp>
  </cdr:relSizeAnchor>
  <cdr:relSizeAnchor xmlns:cdr="http://schemas.openxmlformats.org/drawingml/2006/chartDrawing">
    <cdr:from>
      <cdr:x>0.19042</cdr:x>
      <cdr:y>0.12631</cdr:y>
    </cdr:from>
    <cdr:to>
      <cdr:x>0.4838</cdr:x>
      <cdr:y>0.45144</cdr:y>
    </cdr:to>
    <cdr:sp macro="" textlink="">
      <cdr:nvSpPr>
        <cdr:cNvPr id="3" name="TextBox 1"/>
        <cdr:cNvSpPr txBox="1"/>
      </cdr:nvSpPr>
      <cdr:spPr>
        <a:xfrm xmlns:a="http://schemas.openxmlformats.org/drawingml/2006/main">
          <a:off x="1679575" y="879475"/>
          <a:ext cx="2587628" cy="2263776"/>
        </a:xfrm>
        <a:prstGeom xmlns:a="http://schemas.openxmlformats.org/drawingml/2006/main" prst="rect">
          <a:avLst/>
        </a:prstGeom>
        <a:solidFill xmlns:a="http://schemas.openxmlformats.org/drawingml/2006/main">
          <a:schemeClr val="tx2">
            <a:lumMod val="20000"/>
            <a:lumOff val="80000"/>
            <a:alpha val="59000"/>
          </a:schemeClr>
        </a:solidFill>
        <a:ln xmlns:a="http://schemas.openxmlformats.org/drawingml/2006/main">
          <a:solidFill>
            <a:schemeClr val="accent1"/>
          </a:solidFill>
        </a:ln>
      </cdr:spPr>
      <cdr:txBody>
        <a:bodyPr xmlns:a="http://schemas.openxmlformats.org/drawingml/2006/main" vert="vert270"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1100" b="1"/>
            <a:t>ORDER</a:t>
          </a:r>
          <a:r>
            <a:rPr lang="en-CA" sz="1100" b="1" baseline="0"/>
            <a:t> QUANTITY = 11,000 UNITS</a:t>
          </a:r>
          <a:endParaRPr lang="en-CA" sz="1100" b="1"/>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4.9989318521683403E-2"/>
  </sheetPr>
  <dimension ref="A1:B120"/>
  <sheetViews>
    <sheetView workbookViewId="0">
      <selection activeCell="B23" sqref="B23"/>
    </sheetView>
  </sheetViews>
  <sheetFormatPr defaultRowHeight="16.5" x14ac:dyDescent="0.3"/>
  <cols>
    <col min="1" max="1" width="17" style="3" bestFit="1" customWidth="1"/>
    <col min="2" max="2" width="14.42578125" style="3" bestFit="1" customWidth="1"/>
    <col min="3" max="16384" width="9.140625" style="3"/>
  </cols>
  <sheetData>
    <row r="1" spans="1:2" x14ac:dyDescent="0.3">
      <c r="A1" s="18" t="s">
        <v>18</v>
      </c>
      <c r="B1" s="18" t="s">
        <v>11</v>
      </c>
    </row>
    <row r="2" spans="1:2" x14ac:dyDescent="0.3">
      <c r="A2" s="6" t="s">
        <v>12</v>
      </c>
      <c r="B2" s="34">
        <v>0.78</v>
      </c>
    </row>
    <row r="3" spans="1:2" x14ac:dyDescent="0.3">
      <c r="A3" s="6" t="s">
        <v>13</v>
      </c>
      <c r="B3" s="34">
        <v>0.03</v>
      </c>
    </row>
    <row r="4" spans="1:2" x14ac:dyDescent="0.3">
      <c r="A4" s="6" t="s">
        <v>14</v>
      </c>
      <c r="B4" s="34">
        <v>0.01</v>
      </c>
    </row>
    <row r="5" spans="1:2" x14ac:dyDescent="0.3">
      <c r="A5" s="6" t="s">
        <v>15</v>
      </c>
      <c r="B5" s="34">
        <v>0.01</v>
      </c>
    </row>
    <row r="6" spans="1:2" x14ac:dyDescent="0.3">
      <c r="A6" s="6" t="s">
        <v>16</v>
      </c>
      <c r="B6" s="34">
        <v>0.12</v>
      </c>
    </row>
    <row r="7" spans="1:2" x14ac:dyDescent="0.3">
      <c r="A7" s="6" t="s">
        <v>17</v>
      </c>
      <c r="B7" s="34">
        <v>0.05</v>
      </c>
    </row>
    <row r="20" spans="1:1" x14ac:dyDescent="0.3">
      <c r="A20" s="32"/>
    </row>
    <row r="21" spans="1:1" x14ac:dyDescent="0.3">
      <c r="A21" s="32"/>
    </row>
    <row r="22" spans="1:1" x14ac:dyDescent="0.3">
      <c r="A22" s="32"/>
    </row>
    <row r="23" spans="1:1" x14ac:dyDescent="0.3">
      <c r="A23" s="32"/>
    </row>
    <row r="24" spans="1:1" x14ac:dyDescent="0.3">
      <c r="A24" s="32"/>
    </row>
    <row r="25" spans="1:1" x14ac:dyDescent="0.3">
      <c r="A25" s="32"/>
    </row>
    <row r="26" spans="1:1" x14ac:dyDescent="0.3">
      <c r="A26" s="32"/>
    </row>
    <row r="27" spans="1:1" x14ac:dyDescent="0.3">
      <c r="A27" s="33"/>
    </row>
    <row r="28" spans="1:1" x14ac:dyDescent="0.3">
      <c r="A28" s="33"/>
    </row>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120" spans="2:2" x14ac:dyDescent="0.3">
      <c r="B120" s="3">
        <f>COUNT(B20:B119)</f>
        <v>0</v>
      </c>
    </row>
  </sheetData>
  <sheetProtection sheet="1" objects="1" scenarios="1"/>
  <sortState ref="A29:B61">
    <sortCondition ref="B29:B61"/>
  </sortState>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B34"/>
  <sheetViews>
    <sheetView zoomScaleNormal="100" workbookViewId="0">
      <selection activeCell="AB10" sqref="AB10"/>
    </sheetView>
  </sheetViews>
  <sheetFormatPr defaultRowHeight="16.5" x14ac:dyDescent="0.3"/>
  <cols>
    <col min="1" max="1" width="15.28515625" style="3" bestFit="1" customWidth="1"/>
    <col min="2" max="2" width="13.140625" style="3" bestFit="1" customWidth="1"/>
    <col min="3" max="3" width="9.140625" style="3"/>
    <col min="4" max="4" width="13.140625" style="3" bestFit="1" customWidth="1"/>
    <col min="5" max="5" width="14" style="3" bestFit="1" customWidth="1"/>
    <col min="6" max="26" width="9.140625" style="3"/>
    <col min="27" max="27" width="5" style="3" bestFit="1" customWidth="1"/>
    <col min="28" max="28" width="6.5703125" style="3" bestFit="1" customWidth="1"/>
    <col min="29" max="16384" width="9.140625" style="3"/>
  </cols>
  <sheetData>
    <row r="1" spans="1:28" x14ac:dyDescent="0.3">
      <c r="A1" s="2" t="s">
        <v>23</v>
      </c>
      <c r="D1" s="2" t="s">
        <v>36</v>
      </c>
    </row>
    <row r="2" spans="1:28" x14ac:dyDescent="0.3">
      <c r="A2" s="4" t="s">
        <v>6</v>
      </c>
      <c r="B2" s="5">
        <v>250</v>
      </c>
      <c r="D2" s="4" t="s">
        <v>6</v>
      </c>
      <c r="E2" s="5">
        <f>B3</f>
        <v>200</v>
      </c>
      <c r="AA2" s="6" t="s">
        <v>24</v>
      </c>
      <c r="AB2" s="7" t="s">
        <v>25</v>
      </c>
    </row>
    <row r="3" spans="1:28" x14ac:dyDescent="0.3">
      <c r="A3" s="8" t="s">
        <v>9</v>
      </c>
      <c r="B3" s="5">
        <v>200</v>
      </c>
      <c r="D3" s="8" t="s">
        <v>35</v>
      </c>
      <c r="E3" s="5">
        <v>140</v>
      </c>
      <c r="AA3" s="9">
        <v>1981</v>
      </c>
      <c r="AB3" s="7">
        <v>18000</v>
      </c>
    </row>
    <row r="4" spans="1:28" x14ac:dyDescent="0.3">
      <c r="A4" s="8" t="s">
        <v>21</v>
      </c>
      <c r="B4" s="5">
        <v>60</v>
      </c>
      <c r="D4" s="8" t="s">
        <v>10</v>
      </c>
      <c r="E4" s="5">
        <v>70000</v>
      </c>
      <c r="AA4" s="9">
        <v>1982</v>
      </c>
      <c r="AB4" s="7">
        <v>19000</v>
      </c>
    </row>
    <row r="5" spans="1:28" x14ac:dyDescent="0.3">
      <c r="AA5" s="9">
        <v>1983</v>
      </c>
      <c r="AB5" s="7">
        <v>9000</v>
      </c>
    </row>
    <row r="6" spans="1:28" x14ac:dyDescent="0.3">
      <c r="AA6" s="9">
        <v>1984</v>
      </c>
      <c r="AB6" s="7">
        <v>13000</v>
      </c>
    </row>
    <row r="7" spans="1:28" x14ac:dyDescent="0.3">
      <c r="A7" s="10" t="s">
        <v>4</v>
      </c>
      <c r="AA7" s="9">
        <v>1985</v>
      </c>
      <c r="AB7" s="7">
        <v>16000</v>
      </c>
    </row>
    <row r="8" spans="1:28" x14ac:dyDescent="0.3">
      <c r="AA8" s="9">
        <v>1986</v>
      </c>
      <c r="AB8" s="7">
        <v>12000</v>
      </c>
    </row>
    <row r="9" spans="1:28" x14ac:dyDescent="0.3">
      <c r="AA9" s="9">
        <v>1987</v>
      </c>
      <c r="AB9" s="7">
        <v>12000</v>
      </c>
    </row>
    <row r="10" spans="1:28" x14ac:dyDescent="0.3">
      <c r="AA10" s="9">
        <v>1988</v>
      </c>
      <c r="AB10" s="7">
        <v>9000</v>
      </c>
    </row>
    <row r="11" spans="1:28" x14ac:dyDescent="0.3">
      <c r="AA11" s="9">
        <v>1989</v>
      </c>
      <c r="AB11" s="7">
        <v>11000</v>
      </c>
    </row>
    <row r="12" spans="1:28" x14ac:dyDescent="0.3">
      <c r="AA12" s="9">
        <v>1990</v>
      </c>
      <c r="AB12" s="7">
        <v>12000</v>
      </c>
    </row>
    <row r="13" spans="1:28" x14ac:dyDescent="0.3">
      <c r="AA13" s="9">
        <v>1991</v>
      </c>
      <c r="AB13" s="7">
        <v>9000</v>
      </c>
    </row>
    <row r="14" spans="1:28" x14ac:dyDescent="0.3">
      <c r="AA14" s="9">
        <v>1992</v>
      </c>
      <c r="AB14" s="7">
        <v>9000</v>
      </c>
    </row>
    <row r="15" spans="1:28" x14ac:dyDescent="0.3">
      <c r="AA15" s="9">
        <v>1993</v>
      </c>
      <c r="AB15" s="7">
        <v>19000</v>
      </c>
    </row>
    <row r="16" spans="1:28" x14ac:dyDescent="0.3">
      <c r="AA16" s="9">
        <v>1994</v>
      </c>
      <c r="AB16" s="7">
        <v>11000</v>
      </c>
    </row>
    <row r="17" spans="27:28" x14ac:dyDescent="0.3">
      <c r="AA17" s="9">
        <v>1995</v>
      </c>
      <c r="AB17" s="7">
        <v>19000</v>
      </c>
    </row>
    <row r="18" spans="27:28" x14ac:dyDescent="0.3">
      <c r="AA18" s="9">
        <v>1996</v>
      </c>
      <c r="AB18" s="7">
        <v>15000</v>
      </c>
    </row>
    <row r="19" spans="27:28" x14ac:dyDescent="0.3">
      <c r="AA19" s="9">
        <v>1997</v>
      </c>
      <c r="AB19" s="7">
        <v>17000</v>
      </c>
    </row>
    <row r="20" spans="27:28" x14ac:dyDescent="0.3">
      <c r="AA20" s="9">
        <v>1998</v>
      </c>
      <c r="AB20" s="7">
        <v>9000</v>
      </c>
    </row>
    <row r="21" spans="27:28" x14ac:dyDescent="0.3">
      <c r="AA21" s="9">
        <v>1999</v>
      </c>
      <c r="AB21" s="7">
        <v>18000</v>
      </c>
    </row>
    <row r="22" spans="27:28" x14ac:dyDescent="0.3">
      <c r="AA22" s="9">
        <v>2000</v>
      </c>
      <c r="AB22" s="7">
        <v>18000</v>
      </c>
    </row>
    <row r="23" spans="27:28" x14ac:dyDescent="0.3">
      <c r="AA23" s="9">
        <v>2001</v>
      </c>
      <c r="AB23" s="7">
        <v>10000</v>
      </c>
    </row>
    <row r="24" spans="27:28" x14ac:dyDescent="0.3">
      <c r="AA24" s="9">
        <v>2002</v>
      </c>
      <c r="AB24" s="7">
        <v>18000</v>
      </c>
    </row>
    <row r="25" spans="27:28" x14ac:dyDescent="0.3">
      <c r="AA25" s="9">
        <v>2003</v>
      </c>
      <c r="AB25" s="7">
        <v>17000</v>
      </c>
    </row>
    <row r="26" spans="27:28" x14ac:dyDescent="0.3">
      <c r="AA26" s="9">
        <v>2004</v>
      </c>
      <c r="AB26" s="7">
        <v>11000</v>
      </c>
    </row>
    <row r="27" spans="27:28" x14ac:dyDescent="0.3">
      <c r="AA27" s="9">
        <v>2005</v>
      </c>
      <c r="AB27" s="7">
        <v>15000</v>
      </c>
    </row>
    <row r="28" spans="27:28" x14ac:dyDescent="0.3">
      <c r="AA28" s="9">
        <v>2006</v>
      </c>
      <c r="AB28" s="7">
        <v>9000</v>
      </c>
    </row>
    <row r="29" spans="27:28" x14ac:dyDescent="0.3">
      <c r="AA29" s="9">
        <v>2007</v>
      </c>
      <c r="AB29" s="7">
        <v>18000</v>
      </c>
    </row>
    <row r="30" spans="27:28" x14ac:dyDescent="0.3">
      <c r="AA30" s="9">
        <v>2008</v>
      </c>
      <c r="AB30" s="7">
        <v>9000</v>
      </c>
    </row>
    <row r="31" spans="27:28" x14ac:dyDescent="0.3">
      <c r="AA31" s="9">
        <v>2009</v>
      </c>
      <c r="AB31" s="7">
        <v>9000</v>
      </c>
    </row>
    <row r="32" spans="27:28" x14ac:dyDescent="0.3">
      <c r="AA32" s="9">
        <v>2010</v>
      </c>
      <c r="AB32" s="7">
        <v>14000</v>
      </c>
    </row>
    <row r="33" spans="27:28" x14ac:dyDescent="0.3">
      <c r="AA33" s="9">
        <v>2011</v>
      </c>
      <c r="AB33" s="7">
        <v>19000</v>
      </c>
    </row>
    <row r="34" spans="27:28" x14ac:dyDescent="0.3">
      <c r="AA34" s="9">
        <v>2012</v>
      </c>
      <c r="AB34" s="7">
        <v>19000</v>
      </c>
    </row>
  </sheetData>
  <sheetProtection sheet="1" objects="1" scenario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G15"/>
  <sheetViews>
    <sheetView workbookViewId="0">
      <selection activeCell="F24" sqref="F24"/>
    </sheetView>
  </sheetViews>
  <sheetFormatPr defaultRowHeight="15.75" x14ac:dyDescent="0.25"/>
  <cols>
    <col min="1" max="1" width="9.7109375" style="1" bestFit="1" customWidth="1"/>
    <col min="2" max="2" width="9.42578125" style="1" bestFit="1" customWidth="1"/>
    <col min="3" max="3" width="10.28515625" style="1" bestFit="1" customWidth="1"/>
    <col min="4" max="4" width="18.7109375" style="1" bestFit="1" customWidth="1"/>
    <col min="5" max="5" width="9.140625" style="1"/>
    <col min="6" max="6" width="14" style="1" bestFit="1" customWidth="1"/>
    <col min="7" max="7" width="20.7109375" style="1" bestFit="1" customWidth="1"/>
    <col min="8" max="15" width="9.140625" style="1"/>
    <col min="16" max="16" width="10" style="1" bestFit="1" customWidth="1"/>
    <col min="17" max="17" width="10.140625" style="1" bestFit="1" customWidth="1"/>
    <col min="18" max="18" width="10.28515625" style="1" bestFit="1" customWidth="1"/>
    <col min="19" max="16384" width="9.140625" style="1"/>
  </cols>
  <sheetData>
    <row r="1" spans="1:7" x14ac:dyDescent="0.25">
      <c r="A1" s="124" t="s">
        <v>37</v>
      </c>
      <c r="B1" s="124"/>
      <c r="C1" s="124"/>
      <c r="D1" s="124"/>
      <c r="E1" s="124"/>
      <c r="F1" s="124"/>
      <c r="G1" s="124"/>
    </row>
    <row r="2" spans="1:7" x14ac:dyDescent="0.25">
      <c r="A2" s="124"/>
      <c r="B2" s="124"/>
      <c r="C2" s="124"/>
      <c r="D2" s="124"/>
      <c r="E2" s="124"/>
      <c r="F2" s="124"/>
      <c r="G2" s="124"/>
    </row>
    <row r="3" spans="1:7" ht="16.5" x14ac:dyDescent="0.3">
      <c r="A3" s="123" t="s">
        <v>26</v>
      </c>
      <c r="B3" s="123"/>
      <c r="C3" s="123"/>
      <c r="D3" s="123"/>
      <c r="E3" s="3"/>
      <c r="F3" s="3"/>
      <c r="G3" s="3"/>
    </row>
    <row r="4" spans="1:7" ht="16.5" x14ac:dyDescent="0.3">
      <c r="A4" s="11" t="s">
        <v>27</v>
      </c>
      <c r="B4" s="11" t="s">
        <v>28</v>
      </c>
      <c r="C4" s="11" t="s">
        <v>5</v>
      </c>
      <c r="D4" s="11" t="s">
        <v>29</v>
      </c>
      <c r="E4" s="3"/>
      <c r="F4" s="3"/>
      <c r="G4" s="3"/>
    </row>
    <row r="5" spans="1:7" ht="16.5" x14ac:dyDescent="0.3">
      <c r="A5" s="6">
        <v>9000</v>
      </c>
      <c r="B5" s="6">
        <f>COUNTIF('Data From Case'!$AB$3:$AB$34, A5)</f>
        <v>8</v>
      </c>
      <c r="C5" s="12">
        <f t="shared" ref="C5:C15" si="0">B5/SUM($B$5:$B$15)</f>
        <v>0.25</v>
      </c>
      <c r="D5" s="13">
        <f>SUM(C5:C5)</f>
        <v>0.25</v>
      </c>
      <c r="E5" s="3"/>
      <c r="F5" s="3"/>
      <c r="G5" s="3"/>
    </row>
    <row r="6" spans="1:7" ht="16.5" x14ac:dyDescent="0.3">
      <c r="A6" s="6">
        <v>10000</v>
      </c>
      <c r="B6" s="6">
        <f>COUNTIF('Data From Case'!$AB$3:$AB$34, A6)</f>
        <v>1</v>
      </c>
      <c r="C6" s="12">
        <f t="shared" si="0"/>
        <v>3.125E-2</v>
      </c>
      <c r="D6" s="13">
        <f>SUM(C5:C6)</f>
        <v>0.28125</v>
      </c>
      <c r="E6" s="3"/>
      <c r="F6" s="3"/>
      <c r="G6" s="3"/>
    </row>
    <row r="7" spans="1:7" ht="16.5" x14ac:dyDescent="0.3">
      <c r="A7" s="6">
        <v>11000</v>
      </c>
      <c r="B7" s="6">
        <f>COUNTIF('Data From Case'!$AB$3:$AB$34, A7)</f>
        <v>3</v>
      </c>
      <c r="C7" s="12">
        <f t="shared" si="0"/>
        <v>9.375E-2</v>
      </c>
      <c r="D7" s="13">
        <f>SUM(C5:C7)</f>
        <v>0.375</v>
      </c>
      <c r="E7" s="3"/>
      <c r="F7" s="3"/>
      <c r="G7" s="3"/>
    </row>
    <row r="8" spans="1:7" ht="16.5" x14ac:dyDescent="0.3">
      <c r="A8" s="6">
        <v>12000</v>
      </c>
      <c r="B8" s="6">
        <f>COUNTIF('Data From Case'!$AB$3:$AB$34, A8)</f>
        <v>3</v>
      </c>
      <c r="C8" s="12">
        <f t="shared" si="0"/>
        <v>9.375E-2</v>
      </c>
      <c r="D8" s="13">
        <f>SUM(C5:C8)</f>
        <v>0.46875</v>
      </c>
      <c r="E8" s="3"/>
      <c r="F8" s="3"/>
      <c r="G8" s="3"/>
    </row>
    <row r="9" spans="1:7" ht="16.5" x14ac:dyDescent="0.3">
      <c r="A9" s="6">
        <v>13000</v>
      </c>
      <c r="B9" s="6">
        <f>COUNTIF('Data From Case'!$AB$3:$AB$34, A9)</f>
        <v>1</v>
      </c>
      <c r="C9" s="12">
        <f t="shared" si="0"/>
        <v>3.125E-2</v>
      </c>
      <c r="D9" s="13">
        <f>SUM(C5:C9)</f>
        <v>0.5</v>
      </c>
      <c r="E9" s="3"/>
      <c r="F9" s="3"/>
      <c r="G9" s="3"/>
    </row>
    <row r="10" spans="1:7" ht="16.5" x14ac:dyDescent="0.3">
      <c r="A10" s="6">
        <v>14000</v>
      </c>
      <c r="B10" s="6">
        <f>COUNTIF('Data From Case'!$AB$3:$AB$34, A10)</f>
        <v>1</v>
      </c>
      <c r="C10" s="12">
        <f t="shared" si="0"/>
        <v>3.125E-2</v>
      </c>
      <c r="D10" s="13">
        <f>SUM(C5:C10)</f>
        <v>0.53125</v>
      </c>
      <c r="E10" s="3"/>
      <c r="F10" s="3"/>
      <c r="G10" s="3"/>
    </row>
    <row r="11" spans="1:7" ht="16.5" x14ac:dyDescent="0.3">
      <c r="A11" s="6">
        <v>15000</v>
      </c>
      <c r="B11" s="6">
        <f>COUNTIF('Data From Case'!$AB$3:$AB$34, A11)</f>
        <v>2</v>
      </c>
      <c r="C11" s="12">
        <f t="shared" si="0"/>
        <v>6.25E-2</v>
      </c>
      <c r="D11" s="13">
        <f>SUM(C5:C11)</f>
        <v>0.59375</v>
      </c>
      <c r="E11" s="3"/>
      <c r="F11" s="3"/>
      <c r="G11" s="3"/>
    </row>
    <row r="12" spans="1:7" ht="16.5" x14ac:dyDescent="0.3">
      <c r="A12" s="6">
        <v>16000</v>
      </c>
      <c r="B12" s="6">
        <f>COUNTIF('Data From Case'!$AB$3:$AB$34, A12)</f>
        <v>1</v>
      </c>
      <c r="C12" s="12">
        <f t="shared" si="0"/>
        <v>3.125E-2</v>
      </c>
      <c r="D12" s="13">
        <f>SUM(C5:C12)</f>
        <v>0.625</v>
      </c>
      <c r="E12" s="3"/>
      <c r="F12" s="3"/>
      <c r="G12" s="3"/>
    </row>
    <row r="13" spans="1:7" ht="16.5" x14ac:dyDescent="0.3">
      <c r="A13" s="6">
        <v>17000</v>
      </c>
      <c r="B13" s="6">
        <f>COUNTIF('Data From Case'!$AB$3:$AB$34, A13)</f>
        <v>2</v>
      </c>
      <c r="C13" s="12">
        <f t="shared" si="0"/>
        <v>6.25E-2</v>
      </c>
      <c r="D13" s="13">
        <f>SUM(C5:C13)</f>
        <v>0.6875</v>
      </c>
      <c r="E13" s="3"/>
      <c r="F13" s="3"/>
      <c r="G13" s="3"/>
    </row>
    <row r="14" spans="1:7" ht="16.5" x14ac:dyDescent="0.3">
      <c r="A14" s="6">
        <v>18000</v>
      </c>
      <c r="B14" s="6">
        <f>COUNTIF('Data From Case'!$AB$3:$AB$34, A14)</f>
        <v>5</v>
      </c>
      <c r="C14" s="12">
        <f t="shared" si="0"/>
        <v>0.15625</v>
      </c>
      <c r="D14" s="13">
        <f>SUM(C5:C14)</f>
        <v>0.84375</v>
      </c>
      <c r="E14" s="3"/>
      <c r="F14" s="3"/>
      <c r="G14" s="3"/>
    </row>
    <row r="15" spans="1:7" ht="16.5" x14ac:dyDescent="0.3">
      <c r="A15" s="6">
        <v>19000</v>
      </c>
      <c r="B15" s="6">
        <f>COUNTIF('Data From Case'!$AB$3:$AB$34, A15)</f>
        <v>5</v>
      </c>
      <c r="C15" s="12">
        <f t="shared" si="0"/>
        <v>0.15625</v>
      </c>
      <c r="D15" s="13">
        <f>SUM(C5:C15)</f>
        <v>1</v>
      </c>
      <c r="E15" s="3"/>
      <c r="F15" s="3"/>
      <c r="G15" s="3"/>
    </row>
  </sheetData>
  <sheetProtection sheet="1" objects="1" scenarios="1"/>
  <sortState ref="A17:B48">
    <sortCondition ref="B17:B48"/>
  </sortState>
  <mergeCells count="2">
    <mergeCell ref="A3:D3"/>
    <mergeCell ref="A1:G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J20"/>
  <sheetViews>
    <sheetView workbookViewId="0">
      <selection activeCell="D20" sqref="D20"/>
    </sheetView>
  </sheetViews>
  <sheetFormatPr defaultRowHeight="16.5" x14ac:dyDescent="0.3"/>
  <cols>
    <col min="1" max="1" width="18.7109375" style="3" bestFit="1" customWidth="1"/>
    <col min="2" max="3" width="9.140625" style="3" bestFit="1" customWidth="1"/>
    <col min="4" max="4" width="15.28515625" style="3" bestFit="1" customWidth="1"/>
    <col min="5" max="5" width="8.5703125" style="3" bestFit="1" customWidth="1"/>
    <col min="6" max="6" width="9.140625" style="3"/>
    <col min="7" max="7" width="22.28515625" style="3" bestFit="1" customWidth="1"/>
    <col min="8" max="8" width="6" style="3" customWidth="1"/>
    <col min="9" max="9" width="10.140625" style="3" bestFit="1" customWidth="1"/>
    <col min="10" max="10" width="10.28515625" style="3" bestFit="1" customWidth="1"/>
    <col min="11" max="11" width="20.7109375" style="3" bestFit="1" customWidth="1"/>
    <col min="12" max="16384" width="9.140625" style="3"/>
  </cols>
  <sheetData>
    <row r="1" spans="1:10" x14ac:dyDescent="0.3">
      <c r="A1" s="2" t="s">
        <v>23</v>
      </c>
    </row>
    <row r="2" spans="1:10" ht="17.25" thickBot="1" x14ac:dyDescent="0.35">
      <c r="A2" s="4" t="s">
        <v>6</v>
      </c>
      <c r="B2" s="5">
        <f>'Data From Case'!B2</f>
        <v>250</v>
      </c>
      <c r="C2" s="14"/>
      <c r="D2" s="8" t="s">
        <v>19</v>
      </c>
      <c r="E2" s="15">
        <f>B2-B3</f>
        <v>50</v>
      </c>
      <c r="F2" s="16"/>
      <c r="G2" s="17" t="s">
        <v>30</v>
      </c>
      <c r="H2" s="28">
        <f>VLOOKUP(D19+E4, A8:C18, 2)</f>
        <v>10000</v>
      </c>
    </row>
    <row r="3" spans="1:10" ht="18" customHeight="1" x14ac:dyDescent="0.3">
      <c r="A3" s="8" t="s">
        <v>9</v>
      </c>
      <c r="B3" s="5">
        <f>'Data From Case'!B3</f>
        <v>200</v>
      </c>
      <c r="D3" s="8" t="s">
        <v>20</v>
      </c>
      <c r="E3" s="19">
        <f>B3-B4</f>
        <v>140</v>
      </c>
      <c r="F3" s="20"/>
      <c r="G3" s="125" t="s">
        <v>31</v>
      </c>
      <c r="H3" s="126"/>
      <c r="I3" s="127"/>
      <c r="J3" s="128"/>
    </row>
    <row r="4" spans="1:10" x14ac:dyDescent="0.3">
      <c r="A4" s="8" t="s">
        <v>21</v>
      </c>
      <c r="B4" s="5">
        <f>'Data From Case'!B4</f>
        <v>60</v>
      </c>
      <c r="D4" s="8" t="s">
        <v>22</v>
      </c>
      <c r="E4" s="12">
        <f>((E2) / (E2+E3))</f>
        <v>0.26315789473684209</v>
      </c>
      <c r="G4" s="129"/>
      <c r="H4" s="130"/>
      <c r="I4" s="130"/>
      <c r="J4" s="131"/>
    </row>
    <row r="5" spans="1:10" x14ac:dyDescent="0.3">
      <c r="G5" s="129"/>
      <c r="H5" s="130"/>
      <c r="I5" s="130"/>
      <c r="J5" s="131"/>
    </row>
    <row r="6" spans="1:10" x14ac:dyDescent="0.3">
      <c r="G6" s="129"/>
      <c r="H6" s="130"/>
      <c r="I6" s="130"/>
      <c r="J6" s="131"/>
    </row>
    <row r="7" spans="1:10" x14ac:dyDescent="0.3">
      <c r="A7" s="11" t="s">
        <v>29</v>
      </c>
      <c r="B7" s="11" t="s">
        <v>27</v>
      </c>
      <c r="C7" s="11" t="s">
        <v>5</v>
      </c>
      <c r="G7" s="129"/>
      <c r="H7" s="130"/>
      <c r="I7" s="130"/>
      <c r="J7" s="131"/>
    </row>
    <row r="8" spans="1:10" x14ac:dyDescent="0.3">
      <c r="A8" s="35">
        <f>'Observed Demand'!D5</f>
        <v>0.25</v>
      </c>
      <c r="B8" s="36">
        <f>'Observed Demand'!A5</f>
        <v>9000</v>
      </c>
      <c r="C8" s="35">
        <f>'Observed Demand'!C5</f>
        <v>0.25</v>
      </c>
      <c r="D8" s="41" t="b">
        <f>IF(A8&gt;=$E$4, A8-$E$4)</f>
        <v>0</v>
      </c>
      <c r="G8" s="129"/>
      <c r="H8" s="130"/>
      <c r="I8" s="130"/>
      <c r="J8" s="131"/>
    </row>
    <row r="9" spans="1:10" x14ac:dyDescent="0.3">
      <c r="A9" s="35">
        <f>'Observed Demand'!D6</f>
        <v>0.28125</v>
      </c>
      <c r="B9" s="36">
        <f>'Observed Demand'!A6</f>
        <v>10000</v>
      </c>
      <c r="C9" s="35">
        <f>'Observed Demand'!C6</f>
        <v>3.125E-2</v>
      </c>
      <c r="D9" s="41">
        <f t="shared" ref="D9:D18" si="0">IF(A9&gt;=$E$4, A9-$E$4)</f>
        <v>1.8092105263157909E-2</v>
      </c>
      <c r="G9" s="129"/>
      <c r="H9" s="130"/>
      <c r="I9" s="130"/>
      <c r="J9" s="131"/>
    </row>
    <row r="10" spans="1:10" ht="17.25" thickBot="1" x14ac:dyDescent="0.35">
      <c r="A10" s="35">
        <f>'Observed Demand'!D7</f>
        <v>0.375</v>
      </c>
      <c r="B10" s="36">
        <f>'Observed Demand'!A7</f>
        <v>11000</v>
      </c>
      <c r="C10" s="35">
        <f>'Observed Demand'!C7</f>
        <v>9.375E-2</v>
      </c>
      <c r="D10" s="41">
        <f t="shared" si="0"/>
        <v>0.11184210526315791</v>
      </c>
      <c r="G10" s="132"/>
      <c r="H10" s="133"/>
      <c r="I10" s="133"/>
      <c r="J10" s="134"/>
    </row>
    <row r="11" spans="1:10" x14ac:dyDescent="0.3">
      <c r="A11" s="35">
        <f>'Observed Demand'!D8</f>
        <v>0.46875</v>
      </c>
      <c r="B11" s="36">
        <f>'Observed Demand'!A8</f>
        <v>12000</v>
      </c>
      <c r="C11" s="35">
        <f>'Observed Demand'!C8</f>
        <v>9.375E-2</v>
      </c>
      <c r="D11" s="41">
        <f t="shared" si="0"/>
        <v>0.20559210526315791</v>
      </c>
    </row>
    <row r="12" spans="1:10" x14ac:dyDescent="0.3">
      <c r="A12" s="35">
        <f>'Observed Demand'!D9</f>
        <v>0.5</v>
      </c>
      <c r="B12" s="36">
        <f>'Observed Demand'!A9</f>
        <v>13000</v>
      </c>
      <c r="C12" s="35">
        <f>'Observed Demand'!C9</f>
        <v>3.125E-2</v>
      </c>
      <c r="D12" s="41">
        <f t="shared" si="0"/>
        <v>0.23684210526315791</v>
      </c>
    </row>
    <row r="13" spans="1:10" x14ac:dyDescent="0.3">
      <c r="A13" s="35">
        <f>'Observed Demand'!D10</f>
        <v>0.53125</v>
      </c>
      <c r="B13" s="36">
        <f>'Observed Demand'!A10</f>
        <v>14000</v>
      </c>
      <c r="C13" s="35">
        <f>'Observed Demand'!C10</f>
        <v>3.125E-2</v>
      </c>
      <c r="D13" s="41">
        <f t="shared" si="0"/>
        <v>0.26809210526315791</v>
      </c>
    </row>
    <row r="14" spans="1:10" x14ac:dyDescent="0.3">
      <c r="A14" s="35">
        <f>'Observed Demand'!D11</f>
        <v>0.59375</v>
      </c>
      <c r="B14" s="36">
        <f>'Observed Demand'!A11</f>
        <v>15000</v>
      </c>
      <c r="C14" s="35">
        <f>'Observed Demand'!C11</f>
        <v>6.25E-2</v>
      </c>
      <c r="D14" s="41">
        <f t="shared" si="0"/>
        <v>0.33059210526315791</v>
      </c>
    </row>
    <row r="15" spans="1:10" x14ac:dyDescent="0.3">
      <c r="A15" s="35">
        <f>'Observed Demand'!D12</f>
        <v>0.625</v>
      </c>
      <c r="B15" s="36">
        <f>'Observed Demand'!A12</f>
        <v>16000</v>
      </c>
      <c r="C15" s="35">
        <f>'Observed Demand'!C12</f>
        <v>3.125E-2</v>
      </c>
      <c r="D15" s="41">
        <f t="shared" si="0"/>
        <v>0.36184210526315791</v>
      </c>
    </row>
    <row r="16" spans="1:10" x14ac:dyDescent="0.3">
      <c r="A16" s="35">
        <f>'Observed Demand'!D13</f>
        <v>0.6875</v>
      </c>
      <c r="B16" s="36">
        <f>'Observed Demand'!A13</f>
        <v>17000</v>
      </c>
      <c r="C16" s="35">
        <f>'Observed Demand'!C13</f>
        <v>6.25E-2</v>
      </c>
      <c r="D16" s="41">
        <f t="shared" si="0"/>
        <v>0.42434210526315791</v>
      </c>
    </row>
    <row r="17" spans="1:5" x14ac:dyDescent="0.3">
      <c r="A17" s="35">
        <f>'Observed Demand'!D14</f>
        <v>0.84375</v>
      </c>
      <c r="B17" s="36">
        <f>'Observed Demand'!A14</f>
        <v>18000</v>
      </c>
      <c r="C17" s="35">
        <f>'Observed Demand'!C14</f>
        <v>0.15625</v>
      </c>
      <c r="D17" s="41">
        <f t="shared" si="0"/>
        <v>0.58059210526315796</v>
      </c>
    </row>
    <row r="18" spans="1:5" x14ac:dyDescent="0.3">
      <c r="A18" s="35">
        <f>'Observed Demand'!D15</f>
        <v>1</v>
      </c>
      <c r="B18" s="36">
        <f>'Observed Demand'!A15</f>
        <v>19000</v>
      </c>
      <c r="C18" s="35">
        <f>'Observed Demand'!C15</f>
        <v>0.15625</v>
      </c>
      <c r="D18" s="41">
        <f t="shared" si="0"/>
        <v>0.73684210526315796</v>
      </c>
    </row>
    <row r="19" spans="1:5" x14ac:dyDescent="0.3">
      <c r="D19" s="42">
        <f>MIN(D8:D18)</f>
        <v>1.8092105263157909E-2</v>
      </c>
    </row>
    <row r="20" spans="1:5" x14ac:dyDescent="0.3">
      <c r="E20" s="30"/>
    </row>
  </sheetData>
  <sheetProtection sheet="1" objects="1" scenarios="1"/>
  <mergeCells count="1">
    <mergeCell ref="G3:J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Q39"/>
  <sheetViews>
    <sheetView topLeftCell="A20" zoomScaleNormal="100" workbookViewId="0">
      <selection activeCell="M24" sqref="M24"/>
    </sheetView>
  </sheetViews>
  <sheetFormatPr defaultRowHeight="16.5" x14ac:dyDescent="0.3"/>
  <cols>
    <col min="1" max="1" width="13.28515625" style="3" bestFit="1" customWidth="1"/>
    <col min="2" max="2" width="12" style="3" bestFit="1" customWidth="1"/>
    <col min="3" max="3" width="9.140625" style="3" bestFit="1" customWidth="1"/>
    <col min="4" max="4" width="7.5703125" style="3" bestFit="1" customWidth="1"/>
    <col min="5" max="9" width="13.5703125" style="3" bestFit="1" customWidth="1"/>
    <col min="10" max="12" width="9.140625" style="3"/>
    <col min="13" max="13" width="13.5703125" style="3" bestFit="1" customWidth="1"/>
    <col min="14" max="16384" width="9.140625" style="3"/>
  </cols>
  <sheetData>
    <row r="1" spans="1:9" x14ac:dyDescent="0.3">
      <c r="A1" s="2" t="s">
        <v>23</v>
      </c>
    </row>
    <row r="3" spans="1:9" x14ac:dyDescent="0.3">
      <c r="A3" s="4" t="s">
        <v>6</v>
      </c>
      <c r="B3" s="5">
        <f>'Data From Case'!B2</f>
        <v>250</v>
      </c>
    </row>
    <row r="4" spans="1:9" x14ac:dyDescent="0.3">
      <c r="A4" s="8" t="s">
        <v>9</v>
      </c>
      <c r="B4" s="5">
        <f>'Data From Case'!B3</f>
        <v>200</v>
      </c>
    </row>
    <row r="5" spans="1:9" x14ac:dyDescent="0.3">
      <c r="A5" s="8" t="s">
        <v>21</v>
      </c>
      <c r="B5" s="5">
        <f>'Data From Case'!B4</f>
        <v>60</v>
      </c>
    </row>
    <row r="7" spans="1:9" ht="40.5" customHeight="1" x14ac:dyDescent="0.3">
      <c r="A7" s="8" t="s">
        <v>0</v>
      </c>
      <c r="B7" s="8" t="s">
        <v>4</v>
      </c>
      <c r="C7" s="8" t="s">
        <v>5</v>
      </c>
      <c r="D7" s="21" t="s">
        <v>32</v>
      </c>
      <c r="E7" s="21" t="s">
        <v>33</v>
      </c>
      <c r="F7" s="21" t="s">
        <v>34</v>
      </c>
      <c r="G7" s="8" t="s">
        <v>2</v>
      </c>
      <c r="H7" s="8" t="s">
        <v>3</v>
      </c>
      <c r="I7" s="8" t="s">
        <v>7</v>
      </c>
    </row>
    <row r="8" spans="1:9" x14ac:dyDescent="0.3">
      <c r="A8" s="6">
        <v>1</v>
      </c>
      <c r="B8" s="6">
        <f>'Observed Demand'!A5</f>
        <v>9000</v>
      </c>
      <c r="C8" s="12">
        <f>'Observed Demand'!C5</f>
        <v>0.25</v>
      </c>
      <c r="D8" s="6">
        <f>'Optimal Quantity'!$H$2</f>
        <v>10000</v>
      </c>
      <c r="E8" s="22">
        <f t="shared" ref="E8:E18" si="0">IF(B8&lt;=D8, B8*$B$3, D8*$B$3)</f>
        <v>2250000</v>
      </c>
      <c r="F8" s="23">
        <f t="shared" ref="F8:F18" si="1">IF(B8&lt;D8, (D8-B8)*$B$5, 0)</f>
        <v>60000</v>
      </c>
      <c r="G8" s="22">
        <f t="shared" ref="G8:G18" si="2">D8*$B$4</f>
        <v>2000000</v>
      </c>
      <c r="H8" s="22">
        <f t="shared" ref="H8:H18" si="3">(E8+F8) - G8</f>
        <v>310000</v>
      </c>
      <c r="I8" s="22">
        <f t="shared" ref="I8:I18" si="4">H8*C8</f>
        <v>77500</v>
      </c>
    </row>
    <row r="9" spans="1:9" x14ac:dyDescent="0.3">
      <c r="A9" s="6">
        <v>2</v>
      </c>
      <c r="B9" s="6">
        <f>'Observed Demand'!A6</f>
        <v>10000</v>
      </c>
      <c r="C9" s="12">
        <f>'Observed Demand'!C6</f>
        <v>3.125E-2</v>
      </c>
      <c r="D9" s="6">
        <f>'Optimal Quantity'!$H$2</f>
        <v>10000</v>
      </c>
      <c r="E9" s="22">
        <f t="shared" si="0"/>
        <v>2500000</v>
      </c>
      <c r="F9" s="23">
        <f t="shared" si="1"/>
        <v>0</v>
      </c>
      <c r="G9" s="22">
        <f t="shared" si="2"/>
        <v>2000000</v>
      </c>
      <c r="H9" s="22">
        <f t="shared" si="3"/>
        <v>500000</v>
      </c>
      <c r="I9" s="22">
        <f t="shared" si="4"/>
        <v>15625</v>
      </c>
    </row>
    <row r="10" spans="1:9" x14ac:dyDescent="0.3">
      <c r="A10" s="6">
        <v>3</v>
      </c>
      <c r="B10" s="6">
        <f>'Observed Demand'!A7</f>
        <v>11000</v>
      </c>
      <c r="C10" s="12">
        <f>'Observed Demand'!C7</f>
        <v>9.375E-2</v>
      </c>
      <c r="D10" s="6">
        <f>'Optimal Quantity'!$H$2</f>
        <v>10000</v>
      </c>
      <c r="E10" s="22">
        <f t="shared" si="0"/>
        <v>2500000</v>
      </c>
      <c r="F10" s="23">
        <f t="shared" si="1"/>
        <v>0</v>
      </c>
      <c r="G10" s="22">
        <f t="shared" si="2"/>
        <v>2000000</v>
      </c>
      <c r="H10" s="22">
        <f t="shared" si="3"/>
        <v>500000</v>
      </c>
      <c r="I10" s="22">
        <f t="shared" si="4"/>
        <v>46875</v>
      </c>
    </row>
    <row r="11" spans="1:9" x14ac:dyDescent="0.3">
      <c r="A11" s="6">
        <v>4</v>
      </c>
      <c r="B11" s="6">
        <f>'Observed Demand'!A8</f>
        <v>12000</v>
      </c>
      <c r="C11" s="12">
        <f>'Observed Demand'!C8</f>
        <v>9.375E-2</v>
      </c>
      <c r="D11" s="6">
        <f>'Optimal Quantity'!$H$2</f>
        <v>10000</v>
      </c>
      <c r="E11" s="22">
        <f t="shared" si="0"/>
        <v>2500000</v>
      </c>
      <c r="F11" s="23">
        <f t="shared" si="1"/>
        <v>0</v>
      </c>
      <c r="G11" s="22">
        <f t="shared" si="2"/>
        <v>2000000</v>
      </c>
      <c r="H11" s="22">
        <f t="shared" si="3"/>
        <v>500000</v>
      </c>
      <c r="I11" s="22">
        <f t="shared" si="4"/>
        <v>46875</v>
      </c>
    </row>
    <row r="12" spans="1:9" x14ac:dyDescent="0.3">
      <c r="A12" s="6">
        <v>5</v>
      </c>
      <c r="B12" s="6">
        <f>'Observed Demand'!A9</f>
        <v>13000</v>
      </c>
      <c r="C12" s="12">
        <f>'Observed Demand'!C9</f>
        <v>3.125E-2</v>
      </c>
      <c r="D12" s="6">
        <f>'Optimal Quantity'!$H$2</f>
        <v>10000</v>
      </c>
      <c r="E12" s="22">
        <f t="shared" si="0"/>
        <v>2500000</v>
      </c>
      <c r="F12" s="23">
        <f t="shared" si="1"/>
        <v>0</v>
      </c>
      <c r="G12" s="22">
        <f t="shared" si="2"/>
        <v>2000000</v>
      </c>
      <c r="H12" s="22">
        <f t="shared" si="3"/>
        <v>500000</v>
      </c>
      <c r="I12" s="22">
        <f t="shared" si="4"/>
        <v>15625</v>
      </c>
    </row>
    <row r="13" spans="1:9" x14ac:dyDescent="0.3">
      <c r="A13" s="6">
        <v>6</v>
      </c>
      <c r="B13" s="6">
        <f>'Observed Demand'!A10</f>
        <v>14000</v>
      </c>
      <c r="C13" s="12">
        <f>'Observed Demand'!C10</f>
        <v>3.125E-2</v>
      </c>
      <c r="D13" s="6">
        <f>'Optimal Quantity'!$H$2</f>
        <v>10000</v>
      </c>
      <c r="E13" s="22">
        <f t="shared" si="0"/>
        <v>2500000</v>
      </c>
      <c r="F13" s="23">
        <f t="shared" si="1"/>
        <v>0</v>
      </c>
      <c r="G13" s="22">
        <f t="shared" si="2"/>
        <v>2000000</v>
      </c>
      <c r="H13" s="22">
        <f t="shared" si="3"/>
        <v>500000</v>
      </c>
      <c r="I13" s="22">
        <f t="shared" si="4"/>
        <v>15625</v>
      </c>
    </row>
    <row r="14" spans="1:9" x14ac:dyDescent="0.3">
      <c r="A14" s="6">
        <v>7</v>
      </c>
      <c r="B14" s="6">
        <f>'Observed Demand'!A11</f>
        <v>15000</v>
      </c>
      <c r="C14" s="12">
        <f>'Observed Demand'!C11</f>
        <v>6.25E-2</v>
      </c>
      <c r="D14" s="6">
        <f>'Optimal Quantity'!$H$2</f>
        <v>10000</v>
      </c>
      <c r="E14" s="22">
        <f t="shared" si="0"/>
        <v>2500000</v>
      </c>
      <c r="F14" s="23">
        <f t="shared" si="1"/>
        <v>0</v>
      </c>
      <c r="G14" s="22">
        <f t="shared" si="2"/>
        <v>2000000</v>
      </c>
      <c r="H14" s="22">
        <f t="shared" si="3"/>
        <v>500000</v>
      </c>
      <c r="I14" s="22">
        <f t="shared" si="4"/>
        <v>31250</v>
      </c>
    </row>
    <row r="15" spans="1:9" x14ac:dyDescent="0.3">
      <c r="A15" s="6">
        <v>8</v>
      </c>
      <c r="B15" s="6">
        <f>'Observed Demand'!A12</f>
        <v>16000</v>
      </c>
      <c r="C15" s="12">
        <f>'Observed Demand'!C12</f>
        <v>3.125E-2</v>
      </c>
      <c r="D15" s="6">
        <f>'Optimal Quantity'!$H$2</f>
        <v>10000</v>
      </c>
      <c r="E15" s="22">
        <f t="shared" si="0"/>
        <v>2500000</v>
      </c>
      <c r="F15" s="23">
        <f t="shared" si="1"/>
        <v>0</v>
      </c>
      <c r="G15" s="22">
        <f t="shared" si="2"/>
        <v>2000000</v>
      </c>
      <c r="H15" s="22">
        <f t="shared" si="3"/>
        <v>500000</v>
      </c>
      <c r="I15" s="22">
        <f t="shared" si="4"/>
        <v>15625</v>
      </c>
    </row>
    <row r="16" spans="1:9" x14ac:dyDescent="0.3">
      <c r="A16" s="6">
        <v>9</v>
      </c>
      <c r="B16" s="6">
        <f>'Observed Demand'!A13</f>
        <v>17000</v>
      </c>
      <c r="C16" s="12">
        <f>'Observed Demand'!C13</f>
        <v>6.25E-2</v>
      </c>
      <c r="D16" s="6">
        <f>'Optimal Quantity'!$H$2</f>
        <v>10000</v>
      </c>
      <c r="E16" s="22">
        <f t="shared" si="0"/>
        <v>2500000</v>
      </c>
      <c r="F16" s="23">
        <f t="shared" si="1"/>
        <v>0</v>
      </c>
      <c r="G16" s="22">
        <f t="shared" si="2"/>
        <v>2000000</v>
      </c>
      <c r="H16" s="22">
        <f t="shared" si="3"/>
        <v>500000</v>
      </c>
      <c r="I16" s="22">
        <f t="shared" si="4"/>
        <v>31250</v>
      </c>
    </row>
    <row r="17" spans="1:17" x14ac:dyDescent="0.3">
      <c r="A17" s="6">
        <v>10</v>
      </c>
      <c r="B17" s="6">
        <f>'Observed Demand'!A14</f>
        <v>18000</v>
      </c>
      <c r="C17" s="12">
        <f>'Observed Demand'!C14</f>
        <v>0.15625</v>
      </c>
      <c r="D17" s="6">
        <f>'Optimal Quantity'!$H$2</f>
        <v>10000</v>
      </c>
      <c r="E17" s="22">
        <f t="shared" si="0"/>
        <v>2500000</v>
      </c>
      <c r="F17" s="23">
        <f t="shared" si="1"/>
        <v>0</v>
      </c>
      <c r="G17" s="22">
        <f t="shared" si="2"/>
        <v>2000000</v>
      </c>
      <c r="H17" s="22">
        <f t="shared" si="3"/>
        <v>500000</v>
      </c>
      <c r="I17" s="22">
        <f t="shared" si="4"/>
        <v>78125</v>
      </c>
    </row>
    <row r="18" spans="1:17" x14ac:dyDescent="0.3">
      <c r="A18" s="6">
        <v>11</v>
      </c>
      <c r="B18" s="6">
        <f>'Observed Demand'!A15</f>
        <v>19000</v>
      </c>
      <c r="C18" s="12">
        <f>'Observed Demand'!C15</f>
        <v>0.15625</v>
      </c>
      <c r="D18" s="6">
        <f>'Optimal Quantity'!$H$2</f>
        <v>10000</v>
      </c>
      <c r="E18" s="22">
        <f t="shared" si="0"/>
        <v>2500000</v>
      </c>
      <c r="F18" s="23">
        <f t="shared" si="1"/>
        <v>0</v>
      </c>
      <c r="G18" s="22">
        <f t="shared" si="2"/>
        <v>2000000</v>
      </c>
      <c r="H18" s="22">
        <f t="shared" si="3"/>
        <v>500000</v>
      </c>
      <c r="I18" s="22">
        <f t="shared" si="4"/>
        <v>78125</v>
      </c>
    </row>
    <row r="19" spans="1:17" x14ac:dyDescent="0.3">
      <c r="A19" s="135" t="s">
        <v>38</v>
      </c>
      <c r="B19" s="136"/>
      <c r="C19" s="136"/>
      <c r="D19" s="136"/>
      <c r="E19" s="136"/>
      <c r="F19" s="136"/>
      <c r="G19" s="136"/>
      <c r="H19" s="137"/>
      <c r="I19" s="24">
        <f>SUM(I8:I18)</f>
        <v>452500</v>
      </c>
    </row>
    <row r="20" spans="1:17" x14ac:dyDescent="0.3">
      <c r="M20" s="130" t="s">
        <v>42</v>
      </c>
      <c r="N20" s="130"/>
      <c r="O20" s="130"/>
      <c r="P20" s="130"/>
      <c r="Q20" s="130"/>
    </row>
    <row r="21" spans="1:17" x14ac:dyDescent="0.3">
      <c r="A21" s="2" t="s">
        <v>36</v>
      </c>
      <c r="M21" s="130"/>
      <c r="N21" s="130"/>
      <c r="O21" s="130"/>
      <c r="P21" s="130"/>
      <c r="Q21" s="130"/>
    </row>
    <row r="22" spans="1:17" x14ac:dyDescent="0.3">
      <c r="M22" s="130"/>
      <c r="N22" s="130"/>
      <c r="O22" s="130"/>
      <c r="P22" s="130"/>
      <c r="Q22" s="130"/>
    </row>
    <row r="23" spans="1:17" ht="32.25" customHeight="1" x14ac:dyDescent="0.3">
      <c r="A23" s="4" t="s">
        <v>6</v>
      </c>
      <c r="B23" s="5">
        <f>'Data From Case'!E2</f>
        <v>200</v>
      </c>
      <c r="M23" s="130"/>
      <c r="N23" s="130"/>
      <c r="O23" s="130"/>
      <c r="P23" s="130"/>
      <c r="Q23" s="130"/>
    </row>
    <row r="24" spans="1:17" x14ac:dyDescent="0.3">
      <c r="A24" s="8" t="s">
        <v>35</v>
      </c>
      <c r="B24" s="5">
        <f>'Data From Case'!E3</f>
        <v>140</v>
      </c>
    </row>
    <row r="25" spans="1:17" x14ac:dyDescent="0.3">
      <c r="A25" s="8" t="s">
        <v>10</v>
      </c>
      <c r="B25" s="5">
        <f>'Data From Case'!E4</f>
        <v>70000</v>
      </c>
      <c r="M25" s="138" t="s">
        <v>43</v>
      </c>
      <c r="N25" s="138"/>
      <c r="O25" s="138"/>
      <c r="P25" s="138"/>
    </row>
    <row r="26" spans="1:17" x14ac:dyDescent="0.3">
      <c r="M26" s="25">
        <f>I19+I39</f>
        <v>982500</v>
      </c>
    </row>
    <row r="27" spans="1:17" ht="33" x14ac:dyDescent="0.3">
      <c r="A27" s="8" t="s">
        <v>0</v>
      </c>
      <c r="B27" s="8" t="s">
        <v>4</v>
      </c>
      <c r="C27" s="8" t="s">
        <v>5</v>
      </c>
      <c r="D27" s="21" t="s">
        <v>32</v>
      </c>
      <c r="E27" s="21" t="s">
        <v>33</v>
      </c>
      <c r="F27" s="21" t="s">
        <v>39</v>
      </c>
      <c r="G27" s="21" t="s">
        <v>40</v>
      </c>
      <c r="H27" s="8" t="s">
        <v>3</v>
      </c>
      <c r="I27" s="8" t="s">
        <v>7</v>
      </c>
    </row>
    <row r="28" spans="1:17" x14ac:dyDescent="0.3">
      <c r="A28" s="6">
        <v>1</v>
      </c>
      <c r="B28" s="6">
        <f>'Observed Demand'!A5</f>
        <v>9000</v>
      </c>
      <c r="C28" s="12">
        <f>'Observed Demand'!C5</f>
        <v>0.25</v>
      </c>
      <c r="D28" s="6">
        <f>'Optimal Quantity'!$H$2</f>
        <v>10000</v>
      </c>
      <c r="E28" s="22">
        <f t="shared" ref="E28:E38" si="5">D28*$B$23</f>
        <v>2000000</v>
      </c>
      <c r="F28" s="23">
        <f t="shared" ref="F28:F38" si="6">D28*$B$24</f>
        <v>1400000</v>
      </c>
      <c r="G28" s="22">
        <f t="shared" ref="G28:G38" si="7">$B$25</f>
        <v>70000</v>
      </c>
      <c r="H28" s="22">
        <f t="shared" ref="H28:H38" si="8">E28 - (F28+G28)</f>
        <v>530000</v>
      </c>
      <c r="I28" s="22">
        <f t="shared" ref="I28:I38" si="9">H28*C28</f>
        <v>132500</v>
      </c>
    </row>
    <row r="29" spans="1:17" x14ac:dyDescent="0.3">
      <c r="A29" s="6">
        <v>2</v>
      </c>
      <c r="B29" s="6">
        <f>'Observed Demand'!A6</f>
        <v>10000</v>
      </c>
      <c r="C29" s="12">
        <f>'Observed Demand'!C6</f>
        <v>3.125E-2</v>
      </c>
      <c r="D29" s="6">
        <f>'Optimal Quantity'!$H$2</f>
        <v>10000</v>
      </c>
      <c r="E29" s="22">
        <f t="shared" si="5"/>
        <v>2000000</v>
      </c>
      <c r="F29" s="23">
        <f t="shared" si="6"/>
        <v>1400000</v>
      </c>
      <c r="G29" s="22">
        <f t="shared" si="7"/>
        <v>70000</v>
      </c>
      <c r="H29" s="22">
        <f t="shared" si="8"/>
        <v>530000</v>
      </c>
      <c r="I29" s="22">
        <f t="shared" si="9"/>
        <v>16562.5</v>
      </c>
    </row>
    <row r="30" spans="1:17" x14ac:dyDescent="0.3">
      <c r="A30" s="6">
        <v>3</v>
      </c>
      <c r="B30" s="6">
        <f>'Observed Demand'!A7</f>
        <v>11000</v>
      </c>
      <c r="C30" s="12">
        <f>'Observed Demand'!C7</f>
        <v>9.375E-2</v>
      </c>
      <c r="D30" s="6">
        <f>'Optimal Quantity'!$H$2</f>
        <v>10000</v>
      </c>
      <c r="E30" s="22">
        <f t="shared" si="5"/>
        <v>2000000</v>
      </c>
      <c r="F30" s="23">
        <f t="shared" si="6"/>
        <v>1400000</v>
      </c>
      <c r="G30" s="22">
        <f t="shared" si="7"/>
        <v>70000</v>
      </c>
      <c r="H30" s="22">
        <f t="shared" si="8"/>
        <v>530000</v>
      </c>
      <c r="I30" s="22">
        <f t="shared" si="9"/>
        <v>49687.5</v>
      </c>
    </row>
    <row r="31" spans="1:17" x14ac:dyDescent="0.3">
      <c r="A31" s="6">
        <v>4</v>
      </c>
      <c r="B31" s="6">
        <f>'Observed Demand'!A8</f>
        <v>12000</v>
      </c>
      <c r="C31" s="12">
        <f>'Observed Demand'!C8</f>
        <v>9.375E-2</v>
      </c>
      <c r="D31" s="6">
        <f>'Optimal Quantity'!$H$2</f>
        <v>10000</v>
      </c>
      <c r="E31" s="22">
        <f t="shared" si="5"/>
        <v>2000000</v>
      </c>
      <c r="F31" s="23">
        <f t="shared" si="6"/>
        <v>1400000</v>
      </c>
      <c r="G31" s="22">
        <f t="shared" si="7"/>
        <v>70000</v>
      </c>
      <c r="H31" s="22">
        <f t="shared" si="8"/>
        <v>530000</v>
      </c>
      <c r="I31" s="22">
        <f t="shared" si="9"/>
        <v>49687.5</v>
      </c>
    </row>
    <row r="32" spans="1:17" x14ac:dyDescent="0.3">
      <c r="A32" s="6">
        <v>5</v>
      </c>
      <c r="B32" s="6">
        <f>'Observed Demand'!A9</f>
        <v>13000</v>
      </c>
      <c r="C32" s="12">
        <f>'Observed Demand'!C9</f>
        <v>3.125E-2</v>
      </c>
      <c r="D32" s="6">
        <f>'Optimal Quantity'!$H$2</f>
        <v>10000</v>
      </c>
      <c r="E32" s="22">
        <f t="shared" si="5"/>
        <v>2000000</v>
      </c>
      <c r="F32" s="23">
        <f t="shared" si="6"/>
        <v>1400000</v>
      </c>
      <c r="G32" s="22">
        <f t="shared" si="7"/>
        <v>70000</v>
      </c>
      <c r="H32" s="22">
        <f t="shared" si="8"/>
        <v>530000</v>
      </c>
      <c r="I32" s="22">
        <f t="shared" si="9"/>
        <v>16562.5</v>
      </c>
    </row>
    <row r="33" spans="1:9" x14ac:dyDescent="0.3">
      <c r="A33" s="6">
        <v>6</v>
      </c>
      <c r="B33" s="6">
        <f>'Observed Demand'!A10</f>
        <v>14000</v>
      </c>
      <c r="C33" s="12">
        <f>'Observed Demand'!C10</f>
        <v>3.125E-2</v>
      </c>
      <c r="D33" s="6">
        <f>'Optimal Quantity'!$H$2</f>
        <v>10000</v>
      </c>
      <c r="E33" s="22">
        <f t="shared" si="5"/>
        <v>2000000</v>
      </c>
      <c r="F33" s="23">
        <f t="shared" si="6"/>
        <v>1400000</v>
      </c>
      <c r="G33" s="22">
        <f t="shared" si="7"/>
        <v>70000</v>
      </c>
      <c r="H33" s="22">
        <f t="shared" si="8"/>
        <v>530000</v>
      </c>
      <c r="I33" s="22">
        <f t="shared" si="9"/>
        <v>16562.5</v>
      </c>
    </row>
    <row r="34" spans="1:9" x14ac:dyDescent="0.3">
      <c r="A34" s="6">
        <v>7</v>
      </c>
      <c r="B34" s="6">
        <f>'Observed Demand'!A11</f>
        <v>15000</v>
      </c>
      <c r="C34" s="12">
        <f>'Observed Demand'!C11</f>
        <v>6.25E-2</v>
      </c>
      <c r="D34" s="6">
        <f>'Optimal Quantity'!$H$2</f>
        <v>10000</v>
      </c>
      <c r="E34" s="22">
        <f t="shared" si="5"/>
        <v>2000000</v>
      </c>
      <c r="F34" s="23">
        <f t="shared" si="6"/>
        <v>1400000</v>
      </c>
      <c r="G34" s="22">
        <f t="shared" si="7"/>
        <v>70000</v>
      </c>
      <c r="H34" s="22">
        <f t="shared" si="8"/>
        <v>530000</v>
      </c>
      <c r="I34" s="22">
        <f t="shared" si="9"/>
        <v>33125</v>
      </c>
    </row>
    <row r="35" spans="1:9" x14ac:dyDescent="0.3">
      <c r="A35" s="6">
        <v>8</v>
      </c>
      <c r="B35" s="6">
        <f>'Observed Demand'!A12</f>
        <v>16000</v>
      </c>
      <c r="C35" s="12">
        <f>'Observed Demand'!C12</f>
        <v>3.125E-2</v>
      </c>
      <c r="D35" s="6">
        <f>'Optimal Quantity'!$H$2</f>
        <v>10000</v>
      </c>
      <c r="E35" s="22">
        <f t="shared" si="5"/>
        <v>2000000</v>
      </c>
      <c r="F35" s="23">
        <f t="shared" si="6"/>
        <v>1400000</v>
      </c>
      <c r="G35" s="22">
        <f t="shared" si="7"/>
        <v>70000</v>
      </c>
      <c r="H35" s="22">
        <f t="shared" si="8"/>
        <v>530000</v>
      </c>
      <c r="I35" s="22">
        <f t="shared" si="9"/>
        <v>16562.5</v>
      </c>
    </row>
    <row r="36" spans="1:9" x14ac:dyDescent="0.3">
      <c r="A36" s="6">
        <v>9</v>
      </c>
      <c r="B36" s="6">
        <f>'Observed Demand'!A13</f>
        <v>17000</v>
      </c>
      <c r="C36" s="12">
        <f>'Observed Demand'!C13</f>
        <v>6.25E-2</v>
      </c>
      <c r="D36" s="6">
        <f>'Optimal Quantity'!$H$2</f>
        <v>10000</v>
      </c>
      <c r="E36" s="22">
        <f t="shared" si="5"/>
        <v>2000000</v>
      </c>
      <c r="F36" s="23">
        <f t="shared" si="6"/>
        <v>1400000</v>
      </c>
      <c r="G36" s="22">
        <f t="shared" si="7"/>
        <v>70000</v>
      </c>
      <c r="H36" s="22">
        <f t="shared" si="8"/>
        <v>530000</v>
      </c>
      <c r="I36" s="22">
        <f t="shared" si="9"/>
        <v>33125</v>
      </c>
    </row>
    <row r="37" spans="1:9" x14ac:dyDescent="0.3">
      <c r="A37" s="6">
        <v>10</v>
      </c>
      <c r="B37" s="6">
        <f>'Observed Demand'!A14</f>
        <v>18000</v>
      </c>
      <c r="C37" s="12">
        <f>'Observed Demand'!C14</f>
        <v>0.15625</v>
      </c>
      <c r="D37" s="6">
        <f>'Optimal Quantity'!$H$2</f>
        <v>10000</v>
      </c>
      <c r="E37" s="22">
        <f t="shared" si="5"/>
        <v>2000000</v>
      </c>
      <c r="F37" s="23">
        <f t="shared" si="6"/>
        <v>1400000</v>
      </c>
      <c r="G37" s="22">
        <f t="shared" si="7"/>
        <v>70000</v>
      </c>
      <c r="H37" s="22">
        <f t="shared" si="8"/>
        <v>530000</v>
      </c>
      <c r="I37" s="22">
        <f t="shared" si="9"/>
        <v>82812.5</v>
      </c>
    </row>
    <row r="38" spans="1:9" x14ac:dyDescent="0.3">
      <c r="A38" s="6">
        <v>11</v>
      </c>
      <c r="B38" s="6">
        <f>'Observed Demand'!A15</f>
        <v>19000</v>
      </c>
      <c r="C38" s="12">
        <f>'Observed Demand'!C15</f>
        <v>0.15625</v>
      </c>
      <c r="D38" s="6">
        <f>'Optimal Quantity'!$H$2</f>
        <v>10000</v>
      </c>
      <c r="E38" s="22">
        <f t="shared" si="5"/>
        <v>2000000</v>
      </c>
      <c r="F38" s="23">
        <f t="shared" si="6"/>
        <v>1400000</v>
      </c>
      <c r="G38" s="22">
        <f t="shared" si="7"/>
        <v>70000</v>
      </c>
      <c r="H38" s="22">
        <f t="shared" si="8"/>
        <v>530000</v>
      </c>
      <c r="I38" s="22">
        <f t="shared" si="9"/>
        <v>82812.5</v>
      </c>
    </row>
    <row r="39" spans="1:9" x14ac:dyDescent="0.3">
      <c r="A39" s="135" t="s">
        <v>41</v>
      </c>
      <c r="B39" s="136"/>
      <c r="C39" s="136"/>
      <c r="D39" s="136"/>
      <c r="E39" s="136"/>
      <c r="F39" s="136"/>
      <c r="G39" s="136"/>
      <c r="H39" s="137"/>
      <c r="I39" s="24">
        <f>SUM(I28:I38)</f>
        <v>530000</v>
      </c>
    </row>
  </sheetData>
  <sheetProtection sheet="1" objects="1" scenarios="1"/>
  <mergeCells count="4">
    <mergeCell ref="A19:H19"/>
    <mergeCell ref="A39:H39"/>
    <mergeCell ref="M20:Q23"/>
    <mergeCell ref="M25:P25"/>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O28"/>
  <sheetViews>
    <sheetView workbookViewId="0">
      <selection activeCell="E18" sqref="E18"/>
    </sheetView>
  </sheetViews>
  <sheetFormatPr defaultRowHeight="16.5" x14ac:dyDescent="0.3"/>
  <cols>
    <col min="1" max="1" width="22.140625" style="3" customWidth="1"/>
    <col min="2" max="2" width="12" style="3" bestFit="1" customWidth="1"/>
    <col min="3" max="3" width="9.140625" style="3"/>
    <col min="4" max="4" width="14" style="3" bestFit="1" customWidth="1"/>
    <col min="5" max="5" width="17" style="3" bestFit="1" customWidth="1"/>
    <col min="6" max="6" width="15.5703125" style="3" bestFit="1" customWidth="1"/>
    <col min="7" max="7" width="13.5703125" style="3" bestFit="1" customWidth="1"/>
    <col min="8" max="8" width="20.140625" style="3" bestFit="1" customWidth="1"/>
    <col min="9" max="9" width="15.5703125" style="3" bestFit="1" customWidth="1"/>
    <col min="10" max="10" width="18.7109375" style="3" bestFit="1" customWidth="1"/>
    <col min="11" max="11" width="9.140625" style="3"/>
    <col min="12" max="12" width="18.7109375" style="3" bestFit="1" customWidth="1"/>
    <col min="13" max="13" width="13.5703125" style="3" bestFit="1" customWidth="1"/>
    <col min="14" max="14" width="9.140625" style="3" bestFit="1" customWidth="1"/>
    <col min="15" max="16384" width="9.140625" style="3"/>
  </cols>
  <sheetData>
    <row r="1" spans="1:15" x14ac:dyDescent="0.3">
      <c r="A1" s="7" t="s">
        <v>44</v>
      </c>
      <c r="B1" s="22">
        <f>'Data From Case'!B2</f>
        <v>250</v>
      </c>
      <c r="D1" s="26" t="s">
        <v>19</v>
      </c>
      <c r="E1" s="22">
        <f>B1-B2</f>
        <v>110</v>
      </c>
      <c r="L1" s="11" t="s">
        <v>29</v>
      </c>
      <c r="M1" s="11" t="s">
        <v>27</v>
      </c>
      <c r="N1" s="11" t="s">
        <v>5</v>
      </c>
    </row>
    <row r="2" spans="1:15" x14ac:dyDescent="0.3">
      <c r="A2" s="26" t="s">
        <v>45</v>
      </c>
      <c r="B2" s="22">
        <f>'Data From Case'!E3</f>
        <v>140</v>
      </c>
      <c r="D2" s="26" t="s">
        <v>20</v>
      </c>
      <c r="E2" s="22">
        <f>B2-B4</f>
        <v>80</v>
      </c>
      <c r="L2" s="13">
        <f>'Observed Demand'!D5</f>
        <v>0.25</v>
      </c>
      <c r="M2" s="6">
        <f>'Observed Demand'!A5</f>
        <v>9000</v>
      </c>
      <c r="N2" s="31">
        <f>'Observed Demand'!C5</f>
        <v>0.25</v>
      </c>
      <c r="O2" s="43" t="b">
        <f>IF(L2&gt;=$E$3, L2-$E$3)</f>
        <v>0</v>
      </c>
    </row>
    <row r="3" spans="1:15" ht="16.5" customHeight="1" x14ac:dyDescent="0.3">
      <c r="A3" s="7" t="s">
        <v>46</v>
      </c>
      <c r="B3" s="22">
        <f>'Data From Case'!E4</f>
        <v>70000</v>
      </c>
      <c r="D3" s="7" t="s">
        <v>22</v>
      </c>
      <c r="E3" s="27">
        <f>(E1) / (E1+E2)</f>
        <v>0.57894736842105265</v>
      </c>
      <c r="G3" s="140" t="s">
        <v>66</v>
      </c>
      <c r="H3" s="140"/>
      <c r="I3" s="140"/>
      <c r="J3" s="29">
        <f>J28</f>
        <v>1122812.5</v>
      </c>
      <c r="L3" s="13">
        <f>'Observed Demand'!D6</f>
        <v>0.28125</v>
      </c>
      <c r="M3" s="6">
        <f>'Observed Demand'!A6</f>
        <v>10000</v>
      </c>
      <c r="N3" s="31">
        <f>'Observed Demand'!C6</f>
        <v>3.125E-2</v>
      </c>
      <c r="O3" s="43" t="b">
        <f t="shared" ref="O3:O12" si="0">IF(L3&gt;=$E$3, L3-$E$3)</f>
        <v>0</v>
      </c>
    </row>
    <row r="4" spans="1:15" x14ac:dyDescent="0.3">
      <c r="A4" s="7" t="s">
        <v>21</v>
      </c>
      <c r="B4" s="22">
        <f>'Data From Case'!B4</f>
        <v>60</v>
      </c>
      <c r="D4" s="7" t="s">
        <v>47</v>
      </c>
      <c r="E4" s="28">
        <f>VLOOKUP(E3+O13, L2:N12, 2)</f>
        <v>15000</v>
      </c>
      <c r="G4" s="141" t="s">
        <v>67</v>
      </c>
      <c r="H4" s="141"/>
      <c r="I4" s="141"/>
      <c r="J4" s="29">
        <f>'Uncoordinated  SC Profits'!M26</f>
        <v>982500</v>
      </c>
      <c r="L4" s="13">
        <f>'Observed Demand'!D7</f>
        <v>0.375</v>
      </c>
      <c r="M4" s="6">
        <f>'Observed Demand'!A7</f>
        <v>11000</v>
      </c>
      <c r="N4" s="31">
        <f>'Observed Demand'!C7</f>
        <v>9.375E-2</v>
      </c>
      <c r="O4" s="43" t="b">
        <f t="shared" si="0"/>
        <v>0</v>
      </c>
    </row>
    <row r="5" spans="1:15" x14ac:dyDescent="0.3">
      <c r="L5" s="13">
        <f>'Observed Demand'!D8</f>
        <v>0.46875</v>
      </c>
      <c r="M5" s="6">
        <f>'Observed Demand'!A8</f>
        <v>12000</v>
      </c>
      <c r="N5" s="31">
        <f>'Observed Demand'!C8</f>
        <v>9.375E-2</v>
      </c>
      <c r="O5" s="43" t="b">
        <f t="shared" si="0"/>
        <v>0</v>
      </c>
    </row>
    <row r="6" spans="1:15" x14ac:dyDescent="0.3">
      <c r="A6" s="142" t="s">
        <v>48</v>
      </c>
      <c r="B6" s="142"/>
      <c r="C6" s="142"/>
      <c r="D6" s="142"/>
      <c r="E6" s="142"/>
      <c r="L6" s="13">
        <f>'Observed Demand'!D9</f>
        <v>0.5</v>
      </c>
      <c r="M6" s="6">
        <f>'Observed Demand'!A9</f>
        <v>13000</v>
      </c>
      <c r="N6" s="31">
        <f>'Observed Demand'!C9</f>
        <v>3.125E-2</v>
      </c>
      <c r="O6" s="43" t="b">
        <f t="shared" si="0"/>
        <v>0</v>
      </c>
    </row>
    <row r="7" spans="1:15" x14ac:dyDescent="0.3">
      <c r="A7" s="142"/>
      <c r="B7" s="142"/>
      <c r="C7" s="142"/>
      <c r="D7" s="142"/>
      <c r="E7" s="142"/>
      <c r="L7" s="13">
        <f>'Observed Demand'!D10</f>
        <v>0.53125</v>
      </c>
      <c r="M7" s="6">
        <f>'Observed Demand'!A10</f>
        <v>14000</v>
      </c>
      <c r="N7" s="31">
        <f>'Observed Demand'!C10</f>
        <v>3.125E-2</v>
      </c>
      <c r="O7" s="43" t="b">
        <f t="shared" si="0"/>
        <v>0</v>
      </c>
    </row>
    <row r="8" spans="1:15" x14ac:dyDescent="0.3">
      <c r="A8" s="142"/>
      <c r="B8" s="142"/>
      <c r="C8" s="142"/>
      <c r="D8" s="142"/>
      <c r="E8" s="142"/>
      <c r="L8" s="13">
        <f>'Observed Demand'!D11</f>
        <v>0.59375</v>
      </c>
      <c r="M8" s="6">
        <f>'Observed Demand'!A11</f>
        <v>15000</v>
      </c>
      <c r="N8" s="31">
        <f>'Observed Demand'!C11</f>
        <v>6.25E-2</v>
      </c>
      <c r="O8" s="43">
        <f t="shared" si="0"/>
        <v>1.4802631578947345E-2</v>
      </c>
    </row>
    <row r="9" spans="1:15" x14ac:dyDescent="0.3">
      <c r="A9" s="142"/>
      <c r="B9" s="142"/>
      <c r="C9" s="142"/>
      <c r="D9" s="142"/>
      <c r="E9" s="142"/>
      <c r="L9" s="13">
        <f>'Observed Demand'!D12</f>
        <v>0.625</v>
      </c>
      <c r="M9" s="6">
        <f>'Observed Demand'!A12</f>
        <v>16000</v>
      </c>
      <c r="N9" s="31">
        <f>'Observed Demand'!C12</f>
        <v>3.125E-2</v>
      </c>
      <c r="O9" s="43">
        <f t="shared" si="0"/>
        <v>4.6052631578947345E-2</v>
      </c>
    </row>
    <row r="10" spans="1:15" x14ac:dyDescent="0.3">
      <c r="A10" s="142"/>
      <c r="B10" s="142"/>
      <c r="C10" s="142"/>
      <c r="D10" s="142"/>
      <c r="E10" s="142"/>
      <c r="L10" s="13">
        <f>'Observed Demand'!D13</f>
        <v>0.6875</v>
      </c>
      <c r="M10" s="6">
        <f>'Observed Demand'!A13</f>
        <v>17000</v>
      </c>
      <c r="N10" s="31">
        <f>'Observed Demand'!C13</f>
        <v>6.25E-2</v>
      </c>
      <c r="O10" s="43">
        <f t="shared" si="0"/>
        <v>0.10855263157894735</v>
      </c>
    </row>
    <row r="11" spans="1:15" x14ac:dyDescent="0.3">
      <c r="A11" s="142"/>
      <c r="B11" s="142"/>
      <c r="C11" s="142"/>
      <c r="D11" s="142"/>
      <c r="E11" s="142"/>
      <c r="L11" s="13">
        <f>'Observed Demand'!D14</f>
        <v>0.84375</v>
      </c>
      <c r="M11" s="6">
        <f>'Observed Demand'!A14</f>
        <v>18000</v>
      </c>
      <c r="N11" s="31">
        <f>'Observed Demand'!C14</f>
        <v>0.15625</v>
      </c>
      <c r="O11" s="43">
        <f t="shared" si="0"/>
        <v>0.26480263157894735</v>
      </c>
    </row>
    <row r="12" spans="1:15" x14ac:dyDescent="0.3">
      <c r="A12" s="142"/>
      <c r="B12" s="142"/>
      <c r="C12" s="142"/>
      <c r="D12" s="142"/>
      <c r="E12" s="142"/>
      <c r="L12" s="13">
        <f>'Observed Demand'!D15</f>
        <v>1</v>
      </c>
      <c r="M12" s="6">
        <f>'Observed Demand'!A15</f>
        <v>19000</v>
      </c>
      <c r="N12" s="31">
        <f>'Observed Demand'!C15</f>
        <v>0.15625</v>
      </c>
      <c r="O12" s="43">
        <f t="shared" si="0"/>
        <v>0.42105263157894735</v>
      </c>
    </row>
    <row r="13" spans="1:15" x14ac:dyDescent="0.3">
      <c r="A13" s="142"/>
      <c r="B13" s="142"/>
      <c r="C13" s="142"/>
      <c r="D13" s="142"/>
      <c r="E13" s="142"/>
      <c r="O13" s="43">
        <f>MIN(O2:O12)</f>
        <v>1.4802631578947345E-2</v>
      </c>
    </row>
    <row r="16" spans="1:15" ht="49.5" x14ac:dyDescent="0.3">
      <c r="A16" s="8" t="s">
        <v>0</v>
      </c>
      <c r="B16" s="8" t="s">
        <v>4</v>
      </c>
      <c r="C16" s="8" t="s">
        <v>5</v>
      </c>
      <c r="D16" s="21" t="s">
        <v>32</v>
      </c>
      <c r="E16" s="21" t="s">
        <v>33</v>
      </c>
      <c r="F16" s="21" t="s">
        <v>65</v>
      </c>
      <c r="G16" s="21" t="s">
        <v>39</v>
      </c>
      <c r="H16" s="21" t="s">
        <v>40</v>
      </c>
      <c r="I16" s="8" t="s">
        <v>3</v>
      </c>
      <c r="J16" s="8" t="s">
        <v>7</v>
      </c>
    </row>
    <row r="17" spans="1:10" x14ac:dyDescent="0.3">
      <c r="A17" s="6">
        <v>1</v>
      </c>
      <c r="B17" s="6">
        <f>'Observed Demand'!A5</f>
        <v>9000</v>
      </c>
      <c r="C17" s="12">
        <f>'Observed Demand'!C5</f>
        <v>0.25</v>
      </c>
      <c r="D17" s="6">
        <f t="shared" ref="D17:D27" si="1">$E$4</f>
        <v>15000</v>
      </c>
      <c r="E17" s="22">
        <f>IF(B17&lt;=D17, B17*$B$1, D17*$B$1)</f>
        <v>2250000</v>
      </c>
      <c r="F17" s="23">
        <f>IF(B17&lt;=D17, (D17-B17)*$B$4, 0)</f>
        <v>360000</v>
      </c>
      <c r="G17" s="23">
        <f t="shared" ref="G17:G27" si="2">D17*$B$2</f>
        <v>2100000</v>
      </c>
      <c r="H17" s="22">
        <f>$B$3</f>
        <v>70000</v>
      </c>
      <c r="I17" s="22">
        <f>(E17+F17) - (G17+H17)</f>
        <v>440000</v>
      </c>
      <c r="J17" s="22">
        <f t="shared" ref="J17:J27" si="3">I17*C17</f>
        <v>110000</v>
      </c>
    </row>
    <row r="18" spans="1:10" x14ac:dyDescent="0.3">
      <c r="A18" s="6">
        <v>2</v>
      </c>
      <c r="B18" s="6">
        <f>'Observed Demand'!A6</f>
        <v>10000</v>
      </c>
      <c r="C18" s="12">
        <f>'Observed Demand'!C6</f>
        <v>3.125E-2</v>
      </c>
      <c r="D18" s="6">
        <f t="shared" si="1"/>
        <v>15000</v>
      </c>
      <c r="E18" s="22">
        <f t="shared" ref="E18:E27" si="4">IF(B18&lt;=D18, B18*$B$1, D18*$B$1)</f>
        <v>2500000</v>
      </c>
      <c r="F18" s="23">
        <f t="shared" ref="F18:F27" si="5">IF(B18&lt;=D18, (D18-B18)*$B$4, 0)</f>
        <v>300000</v>
      </c>
      <c r="G18" s="23">
        <f t="shared" si="2"/>
        <v>2100000</v>
      </c>
      <c r="H18" s="22">
        <f t="shared" ref="H18:H27" si="6">$B$3</f>
        <v>70000</v>
      </c>
      <c r="I18" s="22">
        <f t="shared" ref="I18:I27" si="7">(E18+F18) - (G18+H18)</f>
        <v>630000</v>
      </c>
      <c r="J18" s="22">
        <f t="shared" si="3"/>
        <v>19687.5</v>
      </c>
    </row>
    <row r="19" spans="1:10" x14ac:dyDescent="0.3">
      <c r="A19" s="6">
        <v>3</v>
      </c>
      <c r="B19" s="6">
        <f>'Observed Demand'!A7</f>
        <v>11000</v>
      </c>
      <c r="C19" s="12">
        <f>'Observed Demand'!C7</f>
        <v>9.375E-2</v>
      </c>
      <c r="D19" s="6">
        <f t="shared" si="1"/>
        <v>15000</v>
      </c>
      <c r="E19" s="22">
        <f t="shared" si="4"/>
        <v>2750000</v>
      </c>
      <c r="F19" s="23">
        <f t="shared" si="5"/>
        <v>240000</v>
      </c>
      <c r="G19" s="23">
        <f t="shared" si="2"/>
        <v>2100000</v>
      </c>
      <c r="H19" s="22">
        <f t="shared" si="6"/>
        <v>70000</v>
      </c>
      <c r="I19" s="22">
        <f t="shared" si="7"/>
        <v>820000</v>
      </c>
      <c r="J19" s="22">
        <f t="shared" si="3"/>
        <v>76875</v>
      </c>
    </row>
    <row r="20" spans="1:10" x14ac:dyDescent="0.3">
      <c r="A20" s="6">
        <v>4</v>
      </c>
      <c r="B20" s="6">
        <f>'Observed Demand'!A8</f>
        <v>12000</v>
      </c>
      <c r="C20" s="12">
        <f>'Observed Demand'!C8</f>
        <v>9.375E-2</v>
      </c>
      <c r="D20" s="6">
        <f t="shared" si="1"/>
        <v>15000</v>
      </c>
      <c r="E20" s="22">
        <f t="shared" si="4"/>
        <v>3000000</v>
      </c>
      <c r="F20" s="23">
        <f t="shared" si="5"/>
        <v>180000</v>
      </c>
      <c r="G20" s="23">
        <f t="shared" si="2"/>
        <v>2100000</v>
      </c>
      <c r="H20" s="22">
        <f t="shared" si="6"/>
        <v>70000</v>
      </c>
      <c r="I20" s="22">
        <f t="shared" si="7"/>
        <v>1010000</v>
      </c>
      <c r="J20" s="22">
        <f t="shared" si="3"/>
        <v>94687.5</v>
      </c>
    </row>
    <row r="21" spans="1:10" x14ac:dyDescent="0.3">
      <c r="A21" s="6">
        <v>5</v>
      </c>
      <c r="B21" s="6">
        <f>'Observed Demand'!A9</f>
        <v>13000</v>
      </c>
      <c r="C21" s="12">
        <f>'Observed Demand'!C9</f>
        <v>3.125E-2</v>
      </c>
      <c r="D21" s="6">
        <f t="shared" si="1"/>
        <v>15000</v>
      </c>
      <c r="E21" s="22">
        <f t="shared" si="4"/>
        <v>3250000</v>
      </c>
      <c r="F21" s="23">
        <f t="shared" si="5"/>
        <v>120000</v>
      </c>
      <c r="G21" s="23">
        <f t="shared" si="2"/>
        <v>2100000</v>
      </c>
      <c r="H21" s="22">
        <f t="shared" si="6"/>
        <v>70000</v>
      </c>
      <c r="I21" s="22">
        <f t="shared" si="7"/>
        <v>1200000</v>
      </c>
      <c r="J21" s="22">
        <f t="shared" si="3"/>
        <v>37500</v>
      </c>
    </row>
    <row r="22" spans="1:10" x14ac:dyDescent="0.3">
      <c r="A22" s="6">
        <v>6</v>
      </c>
      <c r="B22" s="6">
        <f>'Observed Demand'!A10</f>
        <v>14000</v>
      </c>
      <c r="C22" s="12">
        <f>'Observed Demand'!C10</f>
        <v>3.125E-2</v>
      </c>
      <c r="D22" s="6">
        <f t="shared" si="1"/>
        <v>15000</v>
      </c>
      <c r="E22" s="22">
        <f t="shared" si="4"/>
        <v>3500000</v>
      </c>
      <c r="F22" s="23">
        <f t="shared" si="5"/>
        <v>60000</v>
      </c>
      <c r="G22" s="23">
        <f t="shared" si="2"/>
        <v>2100000</v>
      </c>
      <c r="H22" s="22">
        <f t="shared" si="6"/>
        <v>70000</v>
      </c>
      <c r="I22" s="22">
        <f t="shared" si="7"/>
        <v>1390000</v>
      </c>
      <c r="J22" s="22">
        <f t="shared" si="3"/>
        <v>43437.5</v>
      </c>
    </row>
    <row r="23" spans="1:10" x14ac:dyDescent="0.3">
      <c r="A23" s="6">
        <v>7</v>
      </c>
      <c r="B23" s="6">
        <f>'Observed Demand'!A11</f>
        <v>15000</v>
      </c>
      <c r="C23" s="12">
        <f>'Observed Demand'!C11</f>
        <v>6.25E-2</v>
      </c>
      <c r="D23" s="6">
        <f t="shared" si="1"/>
        <v>15000</v>
      </c>
      <c r="E23" s="22">
        <f t="shared" si="4"/>
        <v>3750000</v>
      </c>
      <c r="F23" s="23">
        <f t="shared" si="5"/>
        <v>0</v>
      </c>
      <c r="G23" s="23">
        <f t="shared" si="2"/>
        <v>2100000</v>
      </c>
      <c r="H23" s="22">
        <f t="shared" si="6"/>
        <v>70000</v>
      </c>
      <c r="I23" s="22">
        <f t="shared" si="7"/>
        <v>1580000</v>
      </c>
      <c r="J23" s="22">
        <f t="shared" si="3"/>
        <v>98750</v>
      </c>
    </row>
    <row r="24" spans="1:10" x14ac:dyDescent="0.3">
      <c r="A24" s="6">
        <v>8</v>
      </c>
      <c r="B24" s="6">
        <f>'Observed Demand'!A12</f>
        <v>16000</v>
      </c>
      <c r="C24" s="12">
        <f>'Observed Demand'!C12</f>
        <v>3.125E-2</v>
      </c>
      <c r="D24" s="6">
        <f t="shared" si="1"/>
        <v>15000</v>
      </c>
      <c r="E24" s="22">
        <f t="shared" si="4"/>
        <v>3750000</v>
      </c>
      <c r="F24" s="23">
        <f t="shared" si="5"/>
        <v>0</v>
      </c>
      <c r="G24" s="23">
        <f t="shared" si="2"/>
        <v>2100000</v>
      </c>
      <c r="H24" s="22">
        <f t="shared" si="6"/>
        <v>70000</v>
      </c>
      <c r="I24" s="22">
        <f t="shared" si="7"/>
        <v>1580000</v>
      </c>
      <c r="J24" s="22">
        <f t="shared" si="3"/>
        <v>49375</v>
      </c>
    </row>
    <row r="25" spans="1:10" x14ac:dyDescent="0.3">
      <c r="A25" s="6">
        <v>9</v>
      </c>
      <c r="B25" s="6">
        <f>'Observed Demand'!A13</f>
        <v>17000</v>
      </c>
      <c r="C25" s="12">
        <f>'Observed Demand'!C13</f>
        <v>6.25E-2</v>
      </c>
      <c r="D25" s="6">
        <f t="shared" si="1"/>
        <v>15000</v>
      </c>
      <c r="E25" s="22">
        <f t="shared" si="4"/>
        <v>3750000</v>
      </c>
      <c r="F25" s="23">
        <f t="shared" si="5"/>
        <v>0</v>
      </c>
      <c r="G25" s="23">
        <f t="shared" si="2"/>
        <v>2100000</v>
      </c>
      <c r="H25" s="22">
        <f t="shared" si="6"/>
        <v>70000</v>
      </c>
      <c r="I25" s="22">
        <f t="shared" si="7"/>
        <v>1580000</v>
      </c>
      <c r="J25" s="22">
        <f t="shared" si="3"/>
        <v>98750</v>
      </c>
    </row>
    <row r="26" spans="1:10" x14ac:dyDescent="0.3">
      <c r="A26" s="6">
        <v>10</v>
      </c>
      <c r="B26" s="6">
        <f>'Observed Demand'!A14</f>
        <v>18000</v>
      </c>
      <c r="C26" s="12">
        <f>'Observed Demand'!C14</f>
        <v>0.15625</v>
      </c>
      <c r="D26" s="6">
        <f t="shared" si="1"/>
        <v>15000</v>
      </c>
      <c r="E26" s="22">
        <f t="shared" si="4"/>
        <v>3750000</v>
      </c>
      <c r="F26" s="23">
        <f t="shared" si="5"/>
        <v>0</v>
      </c>
      <c r="G26" s="23">
        <f t="shared" si="2"/>
        <v>2100000</v>
      </c>
      <c r="H26" s="22">
        <f t="shared" si="6"/>
        <v>70000</v>
      </c>
      <c r="I26" s="22">
        <f t="shared" si="7"/>
        <v>1580000</v>
      </c>
      <c r="J26" s="22">
        <f t="shared" si="3"/>
        <v>246875</v>
      </c>
    </row>
    <row r="27" spans="1:10" x14ac:dyDescent="0.3">
      <c r="A27" s="6">
        <v>11</v>
      </c>
      <c r="B27" s="6">
        <f>'Observed Demand'!A15</f>
        <v>19000</v>
      </c>
      <c r="C27" s="12">
        <f>'Observed Demand'!C15</f>
        <v>0.15625</v>
      </c>
      <c r="D27" s="6">
        <f t="shared" si="1"/>
        <v>15000</v>
      </c>
      <c r="E27" s="22">
        <f t="shared" si="4"/>
        <v>3750000</v>
      </c>
      <c r="F27" s="23">
        <f t="shared" si="5"/>
        <v>0</v>
      </c>
      <c r="G27" s="23">
        <f t="shared" si="2"/>
        <v>2100000</v>
      </c>
      <c r="H27" s="22">
        <f t="shared" si="6"/>
        <v>70000</v>
      </c>
      <c r="I27" s="22">
        <f t="shared" si="7"/>
        <v>1580000</v>
      </c>
      <c r="J27" s="22">
        <f t="shared" si="3"/>
        <v>246875</v>
      </c>
    </row>
    <row r="28" spans="1:10" x14ac:dyDescent="0.3">
      <c r="A28" s="139" t="s">
        <v>64</v>
      </c>
      <c r="B28" s="139"/>
      <c r="C28" s="139"/>
      <c r="D28" s="139"/>
      <c r="E28" s="139"/>
      <c r="F28" s="139"/>
      <c r="G28" s="139"/>
      <c r="H28" s="139"/>
      <c r="I28" s="139"/>
      <c r="J28" s="24">
        <f>SUM(J17:J27)</f>
        <v>1122812.5</v>
      </c>
    </row>
  </sheetData>
  <sheetProtection sheet="1" objects="1" scenarios="1"/>
  <mergeCells count="4">
    <mergeCell ref="A28:I28"/>
    <mergeCell ref="G3:I3"/>
    <mergeCell ref="G4:I4"/>
    <mergeCell ref="A6:E13"/>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X87"/>
  <sheetViews>
    <sheetView tabSelected="1" workbookViewId="0">
      <selection activeCell="B9" sqref="B9"/>
    </sheetView>
  </sheetViews>
  <sheetFormatPr defaultRowHeight="16.5" x14ac:dyDescent="0.3"/>
  <cols>
    <col min="1" max="1" width="14.85546875" style="3" bestFit="1" customWidth="1"/>
    <col min="2" max="2" width="14" style="3" bestFit="1" customWidth="1"/>
    <col min="3" max="3" width="12" style="3" bestFit="1" customWidth="1"/>
    <col min="4" max="4" width="14" style="3" bestFit="1" customWidth="1"/>
    <col min="5" max="5" width="14.28515625" style="3" bestFit="1" customWidth="1"/>
    <col min="6" max="6" width="21.42578125" style="3" customWidth="1"/>
    <col min="7" max="7" width="19.140625" style="3" customWidth="1"/>
    <col min="8" max="8" width="23.85546875" style="3" customWidth="1"/>
    <col min="9" max="9" width="11.140625" style="3" customWidth="1"/>
    <col min="10" max="12" width="9.140625" style="3"/>
    <col min="13" max="13" width="19.7109375" style="3" bestFit="1" customWidth="1"/>
    <col min="14" max="14" width="11" style="3" bestFit="1" customWidth="1"/>
    <col min="15" max="15" width="9.140625" style="3"/>
    <col min="16" max="16" width="14.5703125" style="3" bestFit="1" customWidth="1"/>
    <col min="17" max="17" width="18.7109375" style="3" bestFit="1" customWidth="1"/>
    <col min="18" max="18" width="24.7109375" style="3" bestFit="1" customWidth="1"/>
    <col min="19" max="19" width="13.5703125" style="3" bestFit="1" customWidth="1"/>
    <col min="20" max="20" width="17.42578125" style="3" bestFit="1" customWidth="1"/>
    <col min="21" max="21" width="13.5703125" style="3" bestFit="1" customWidth="1"/>
    <col min="22" max="22" width="12.85546875" style="3" bestFit="1" customWidth="1"/>
    <col min="23" max="23" width="14.5703125" style="3" bestFit="1" customWidth="1"/>
    <col min="24" max="24" width="13.5703125" style="3" bestFit="1" customWidth="1"/>
    <col min="25" max="16384" width="9.140625" style="3"/>
  </cols>
  <sheetData>
    <row r="1" spans="1:24" ht="36" customHeight="1" x14ac:dyDescent="0.3">
      <c r="A1" s="143" t="s">
        <v>58</v>
      </c>
      <c r="B1" s="144"/>
      <c r="D1" s="2" t="s">
        <v>23</v>
      </c>
      <c r="Q1" s="48" t="s">
        <v>29</v>
      </c>
      <c r="R1" s="48" t="s">
        <v>27</v>
      </c>
      <c r="S1" s="48" t="s">
        <v>5</v>
      </c>
    </row>
    <row r="2" spans="1:24" x14ac:dyDescent="0.3">
      <c r="A2" s="8" t="s">
        <v>49</v>
      </c>
      <c r="B2" s="37">
        <f>'Data From Case'!E3</f>
        <v>140</v>
      </c>
      <c r="D2" s="4" t="s">
        <v>6</v>
      </c>
      <c r="E2" s="5">
        <f>'Data From Case'!B2</f>
        <v>250</v>
      </c>
      <c r="Q2" s="49">
        <f>'Observed Demand'!D5</f>
        <v>0.25</v>
      </c>
      <c r="R2" s="50">
        <f>'Observed Demand'!A5</f>
        <v>9000</v>
      </c>
      <c r="S2" s="49">
        <f>'Observed Demand'!C5</f>
        <v>0.25</v>
      </c>
    </row>
    <row r="3" spans="1:24" x14ac:dyDescent="0.3">
      <c r="A3" s="8" t="s">
        <v>50</v>
      </c>
      <c r="B3" s="37">
        <f>'Data From Case'!E2</f>
        <v>200</v>
      </c>
      <c r="D3" s="8" t="s">
        <v>21</v>
      </c>
      <c r="E3" s="5">
        <f>'Data From Case'!B4</f>
        <v>60</v>
      </c>
      <c r="Q3" s="49">
        <f>'Observed Demand'!D6</f>
        <v>0.28125</v>
      </c>
      <c r="R3" s="50">
        <f>'Observed Demand'!A6</f>
        <v>10000</v>
      </c>
      <c r="S3" s="49">
        <f>'Observed Demand'!C6</f>
        <v>3.125E-2</v>
      </c>
    </row>
    <row r="4" spans="1:24" x14ac:dyDescent="0.3">
      <c r="D4" s="45"/>
      <c r="E4" s="46"/>
      <c r="Q4" s="49">
        <f>'Observed Demand'!D7</f>
        <v>0.375</v>
      </c>
      <c r="R4" s="50">
        <f>'Observed Demand'!A7</f>
        <v>11000</v>
      </c>
      <c r="S4" s="49">
        <f>'Observed Demand'!C7</f>
        <v>9.375E-2</v>
      </c>
    </row>
    <row r="5" spans="1:24" x14ac:dyDescent="0.3">
      <c r="Q5" s="49">
        <f>'Observed Demand'!D8</f>
        <v>0.46875</v>
      </c>
      <c r="R5" s="50">
        <f>'Observed Demand'!A8</f>
        <v>12000</v>
      </c>
      <c r="S5" s="49">
        <f>'Observed Demand'!C8</f>
        <v>9.375E-2</v>
      </c>
    </row>
    <row r="6" spans="1:24" x14ac:dyDescent="0.3">
      <c r="A6" s="44" t="s">
        <v>11</v>
      </c>
      <c r="B6" s="34">
        <v>0.15</v>
      </c>
      <c r="Q6" s="49">
        <f>'Observed Demand'!D9</f>
        <v>0.5</v>
      </c>
      <c r="R6" s="50">
        <f>'Observed Demand'!A9</f>
        <v>13000</v>
      </c>
      <c r="S6" s="49">
        <f>'Observed Demand'!C9</f>
        <v>3.125E-2</v>
      </c>
    </row>
    <row r="7" spans="1:24" x14ac:dyDescent="0.3">
      <c r="Q7" s="49">
        <f>'Observed Demand'!D10</f>
        <v>0.53125</v>
      </c>
      <c r="R7" s="50">
        <f>'Observed Demand'!A10</f>
        <v>14000</v>
      </c>
      <c r="S7" s="49">
        <f>'Observed Demand'!C10</f>
        <v>3.125E-2</v>
      </c>
    </row>
    <row r="8" spans="1:24" ht="14.25" customHeight="1" x14ac:dyDescent="0.3">
      <c r="A8" s="7" t="s">
        <v>59</v>
      </c>
      <c r="B8" s="7" t="s">
        <v>19</v>
      </c>
      <c r="C8" s="7" t="s">
        <v>20</v>
      </c>
      <c r="D8" s="7" t="s">
        <v>22</v>
      </c>
      <c r="E8" s="7" t="s">
        <v>47</v>
      </c>
      <c r="F8" s="26" t="s">
        <v>52</v>
      </c>
      <c r="G8" s="26" t="s">
        <v>53</v>
      </c>
      <c r="H8" s="26" t="s">
        <v>1</v>
      </c>
      <c r="Q8" s="49">
        <f>'Observed Demand'!D11</f>
        <v>0.59375</v>
      </c>
      <c r="R8" s="50">
        <f>'Observed Demand'!A11</f>
        <v>15000</v>
      </c>
      <c r="S8" s="49">
        <f>'Observed Demand'!C11</f>
        <v>6.25E-2</v>
      </c>
    </row>
    <row r="9" spans="1:24" x14ac:dyDescent="0.3">
      <c r="A9" s="23">
        <v>121</v>
      </c>
      <c r="B9" s="22">
        <f>($E$2 - A9)*(100%-$B$6)</f>
        <v>109.64999999999999</v>
      </c>
      <c r="C9" s="22">
        <f>A9-$E$3</f>
        <v>61</v>
      </c>
      <c r="D9" s="12">
        <f>B9 / (B9+C9)</f>
        <v>0.64254321711104601</v>
      </c>
      <c r="E9" s="6">
        <f ca="1">OptimalOrderQuantity(D9)</f>
        <v>17000</v>
      </c>
      <c r="F9" s="52">
        <f ca="1">SkiRetailProf_RS(E9,$B$6,A9)</f>
        <v>1002687.5</v>
      </c>
      <c r="G9" s="52">
        <f ca="1">Skiekz_RS(E9, $B$6, A9)</f>
        <v>108562.5</v>
      </c>
      <c r="H9" s="53">
        <f ca="1">SUM(F9:G9)</f>
        <v>1111250</v>
      </c>
      <c r="Q9" s="49">
        <f>'Observed Demand'!D12</f>
        <v>0.625</v>
      </c>
      <c r="R9" s="50">
        <f>'Observed Demand'!A12</f>
        <v>16000</v>
      </c>
      <c r="S9" s="49">
        <f>'Observed Demand'!C12</f>
        <v>3.125E-2</v>
      </c>
    </row>
    <row r="10" spans="1:24" x14ac:dyDescent="0.3">
      <c r="A10" s="23">
        <v>122</v>
      </c>
      <c r="B10" s="22">
        <f t="shared" ref="B10:B73" si="0">($E$2 - A10)*(100%-$B$6)</f>
        <v>108.8</v>
      </c>
      <c r="C10" s="22">
        <f t="shared" ref="C10:C73" si="1">A10-$E$3</f>
        <v>62</v>
      </c>
      <c r="D10" s="12">
        <f t="shared" ref="D10:D73" si="2">B10 / (B10+C10)</f>
        <v>0.63700234192037464</v>
      </c>
      <c r="E10" s="6">
        <f t="shared" ref="E10:E73" ca="1" si="3">OptimalOrderQuantity(D10)</f>
        <v>17000</v>
      </c>
      <c r="F10" s="52">
        <f t="shared" ref="F10:F73" ca="1" si="4">SkiRetailProf_RS(E10,$B$6,A10)</f>
        <v>985687.5</v>
      </c>
      <c r="G10" s="52">
        <f t="shared" ref="G10:G73" ca="1" si="5">Skiekz_RS(E10, $B$6, A10)</f>
        <v>125562.5</v>
      </c>
      <c r="H10" s="53">
        <f t="shared" ref="H10:H73" ca="1" si="6">SUM(F10:G10)</f>
        <v>1111250</v>
      </c>
      <c r="Q10" s="49">
        <f>'Observed Demand'!D13</f>
        <v>0.6875</v>
      </c>
      <c r="R10" s="50">
        <f>'Observed Demand'!A13</f>
        <v>17000</v>
      </c>
      <c r="S10" s="49">
        <f>'Observed Demand'!C13</f>
        <v>6.25E-2</v>
      </c>
    </row>
    <row r="11" spans="1:24" x14ac:dyDescent="0.3">
      <c r="A11" s="23">
        <v>123</v>
      </c>
      <c r="B11" s="22">
        <f t="shared" si="0"/>
        <v>107.95</v>
      </c>
      <c r="C11" s="22">
        <f t="shared" si="1"/>
        <v>63</v>
      </c>
      <c r="D11" s="12">
        <f t="shared" si="2"/>
        <v>0.63147119040655164</v>
      </c>
      <c r="E11" s="6">
        <f t="shared" ca="1" si="3"/>
        <v>17000</v>
      </c>
      <c r="F11" s="52">
        <f t="shared" ca="1" si="4"/>
        <v>968687.5</v>
      </c>
      <c r="G11" s="52">
        <f t="shared" ca="1" si="5"/>
        <v>142562.5</v>
      </c>
      <c r="H11" s="53">
        <f t="shared" ca="1" si="6"/>
        <v>1111250</v>
      </c>
      <c r="Q11" s="49">
        <f>'Observed Demand'!D14</f>
        <v>0.84375</v>
      </c>
      <c r="R11" s="50">
        <f>'Observed Demand'!A14</f>
        <v>18000</v>
      </c>
      <c r="S11" s="49">
        <f>'Observed Demand'!C14</f>
        <v>0.15625</v>
      </c>
    </row>
    <row r="12" spans="1:24" x14ac:dyDescent="0.3">
      <c r="A12" s="23">
        <v>124</v>
      </c>
      <c r="B12" s="22">
        <f t="shared" si="0"/>
        <v>107.1</v>
      </c>
      <c r="C12" s="22">
        <f t="shared" si="1"/>
        <v>64</v>
      </c>
      <c r="D12" s="12">
        <f t="shared" si="2"/>
        <v>0.62594973699590883</v>
      </c>
      <c r="E12" s="6">
        <f t="shared" ca="1" si="3"/>
        <v>17000</v>
      </c>
      <c r="F12" s="52">
        <f t="shared" ca="1" si="4"/>
        <v>951687.5</v>
      </c>
      <c r="G12" s="52">
        <f t="shared" ca="1" si="5"/>
        <v>159562.5</v>
      </c>
      <c r="H12" s="53">
        <f t="shared" ca="1" si="6"/>
        <v>1111250</v>
      </c>
      <c r="Q12" s="95">
        <f>'Observed Demand'!D15</f>
        <v>1</v>
      </c>
      <c r="R12" s="50">
        <f>'Observed Demand'!A15</f>
        <v>19000</v>
      </c>
      <c r="S12" s="49">
        <f>'Observed Demand'!C15</f>
        <v>0.15625</v>
      </c>
      <c r="U12" s="94"/>
      <c r="V12" s="94"/>
      <c r="W12" s="94"/>
      <c r="X12" s="94"/>
    </row>
    <row r="13" spans="1:24" x14ac:dyDescent="0.3">
      <c r="A13" s="23">
        <v>125</v>
      </c>
      <c r="B13" s="22">
        <f t="shared" si="0"/>
        <v>106.25</v>
      </c>
      <c r="C13" s="22">
        <f t="shared" si="1"/>
        <v>65</v>
      </c>
      <c r="D13" s="12">
        <f t="shared" si="2"/>
        <v>0.62043795620437958</v>
      </c>
      <c r="E13" s="6">
        <f t="shared" ca="1" si="3"/>
        <v>16000</v>
      </c>
      <c r="F13" s="52">
        <f t="shared" ca="1" si="4"/>
        <v>942500</v>
      </c>
      <c r="G13" s="52">
        <f t="shared" ca="1" si="5"/>
        <v>177500</v>
      </c>
      <c r="H13" s="53">
        <f t="shared" ca="1" si="6"/>
        <v>1120000</v>
      </c>
      <c r="M13" s="47" t="s">
        <v>56</v>
      </c>
      <c r="N13" s="148" t="s">
        <v>73</v>
      </c>
      <c r="O13" s="148"/>
      <c r="P13" s="148"/>
      <c r="Q13" s="148"/>
      <c r="R13" s="148"/>
      <c r="U13" s="96"/>
      <c r="V13" s="96"/>
      <c r="W13" s="96"/>
      <c r="X13" s="96"/>
    </row>
    <row r="14" spans="1:24" x14ac:dyDescent="0.3">
      <c r="A14" s="23">
        <v>126</v>
      </c>
      <c r="B14" s="22">
        <f t="shared" si="0"/>
        <v>105.39999999999999</v>
      </c>
      <c r="C14" s="22">
        <f t="shared" si="1"/>
        <v>66</v>
      </c>
      <c r="D14" s="12">
        <f t="shared" si="2"/>
        <v>0.61493582263710622</v>
      </c>
      <c r="E14" s="6">
        <f t="shared" ca="1" si="3"/>
        <v>16000</v>
      </c>
      <c r="F14" s="52">
        <f t="shared" ca="1" si="4"/>
        <v>926500</v>
      </c>
      <c r="G14" s="52">
        <f t="shared" ca="1" si="5"/>
        <v>193500</v>
      </c>
      <c r="H14" s="53">
        <f t="shared" ca="1" si="6"/>
        <v>1120000</v>
      </c>
      <c r="M14" s="7" t="s">
        <v>74</v>
      </c>
      <c r="N14" s="22">
        <v>131</v>
      </c>
      <c r="O14" s="7" t="s">
        <v>69</v>
      </c>
      <c r="P14" s="22">
        <f>(E2-N14)*(100%-B6)</f>
        <v>101.14999999999999</v>
      </c>
      <c r="Q14" s="7" t="s">
        <v>70</v>
      </c>
      <c r="R14" s="22">
        <f>N14-E3</f>
        <v>71</v>
      </c>
      <c r="S14" s="7" t="s">
        <v>71</v>
      </c>
      <c r="T14" s="12">
        <f>(P14) / (P14+R14)</f>
        <v>0.58756898054022655</v>
      </c>
      <c r="U14" s="7" t="s">
        <v>72</v>
      </c>
      <c r="V14" s="6" t="e">
        <f>OptimalOrderQuantity(T14)</f>
        <v>#VALUE!</v>
      </c>
    </row>
    <row r="15" spans="1:24" x14ac:dyDescent="0.3">
      <c r="A15" s="23">
        <v>127</v>
      </c>
      <c r="B15" s="22">
        <f t="shared" si="0"/>
        <v>104.55</v>
      </c>
      <c r="C15" s="22">
        <f t="shared" si="1"/>
        <v>67</v>
      </c>
      <c r="D15" s="12">
        <f t="shared" si="2"/>
        <v>0.60944331098805005</v>
      </c>
      <c r="E15" s="6">
        <f t="shared" ca="1" si="3"/>
        <v>16000</v>
      </c>
      <c r="F15" s="52">
        <f t="shared" ca="1" si="4"/>
        <v>910500</v>
      </c>
      <c r="G15" s="52">
        <f t="shared" ca="1" si="5"/>
        <v>209500</v>
      </c>
      <c r="H15" s="53">
        <f t="shared" ca="1" si="6"/>
        <v>1120000</v>
      </c>
      <c r="N15" s="40"/>
    </row>
    <row r="16" spans="1:24" ht="17.25" customHeight="1" x14ac:dyDescent="0.3">
      <c r="A16" s="23">
        <v>128</v>
      </c>
      <c r="B16" s="22">
        <f t="shared" si="0"/>
        <v>103.7</v>
      </c>
      <c r="C16" s="22">
        <f t="shared" si="1"/>
        <v>68</v>
      </c>
      <c r="D16" s="12">
        <f t="shared" si="2"/>
        <v>0.60396039603960405</v>
      </c>
      <c r="E16" s="6">
        <f t="shared" ca="1" si="3"/>
        <v>16000</v>
      </c>
      <c r="F16" s="52">
        <f t="shared" ca="1" si="4"/>
        <v>894500</v>
      </c>
      <c r="G16" s="52">
        <f t="shared" ca="1" si="5"/>
        <v>225500</v>
      </c>
      <c r="H16" s="53">
        <f t="shared" ca="1" si="6"/>
        <v>1120000</v>
      </c>
      <c r="M16" s="8" t="s">
        <v>54</v>
      </c>
      <c r="N16" s="8" t="s">
        <v>4</v>
      </c>
      <c r="O16" s="8" t="s">
        <v>5</v>
      </c>
      <c r="P16" s="21" t="s">
        <v>32</v>
      </c>
      <c r="Q16" s="21" t="s">
        <v>33</v>
      </c>
      <c r="R16" s="21" t="s">
        <v>62</v>
      </c>
      <c r="S16" s="21" t="s">
        <v>61</v>
      </c>
      <c r="T16" s="8" t="s">
        <v>60</v>
      </c>
      <c r="U16" s="8" t="s">
        <v>3</v>
      </c>
      <c r="V16" s="8" t="s">
        <v>7</v>
      </c>
    </row>
    <row r="17" spans="1:22" x14ac:dyDescent="0.3">
      <c r="A17" s="23">
        <v>129</v>
      </c>
      <c r="B17" s="22">
        <f t="shared" si="0"/>
        <v>102.85</v>
      </c>
      <c r="C17" s="22">
        <f t="shared" si="1"/>
        <v>69</v>
      </c>
      <c r="D17" s="12">
        <f t="shared" si="2"/>
        <v>0.59848705266220537</v>
      </c>
      <c r="E17" s="6">
        <f t="shared" ca="1" si="3"/>
        <v>16000</v>
      </c>
      <c r="F17" s="52">
        <f t="shared" ca="1" si="4"/>
        <v>878500</v>
      </c>
      <c r="G17" s="52">
        <f t="shared" ca="1" si="5"/>
        <v>241500</v>
      </c>
      <c r="H17" s="53">
        <f t="shared" ca="1" si="6"/>
        <v>1120000</v>
      </c>
      <c r="M17" s="6">
        <v>1</v>
      </c>
      <c r="N17" s="6">
        <f>R2</f>
        <v>9000</v>
      </c>
      <c r="O17" s="12">
        <f>S2</f>
        <v>0.25</v>
      </c>
      <c r="P17" s="6" t="e">
        <f t="shared" ref="P17:P27" si="7">$V$14</f>
        <v>#VALUE!</v>
      </c>
      <c r="Q17" s="22" t="e">
        <f>IF(N17&lt;=P17,(N17*$E$2),(P17*$E$2))</f>
        <v>#VALUE!</v>
      </c>
      <c r="R17" s="23" t="e">
        <f>IF(N17&lt;=P17, (P17-N17)*$E$3, 0)</f>
        <v>#VALUE!</v>
      </c>
      <c r="S17" s="23" t="e">
        <f>P17*$N$14</f>
        <v>#VALUE!</v>
      </c>
      <c r="T17" s="22" t="e">
        <f t="shared" ref="T17:T27" si="8">$B$6*Q17</f>
        <v>#VALUE!</v>
      </c>
      <c r="U17" s="22" t="e">
        <f>(Q17+R17) - (S17+T17)</f>
        <v>#VALUE!</v>
      </c>
      <c r="V17" s="22" t="e">
        <f t="shared" ref="V17:V27" si="9">U17*O17</f>
        <v>#VALUE!</v>
      </c>
    </row>
    <row r="18" spans="1:22" x14ac:dyDescent="0.3">
      <c r="A18" s="23">
        <v>130</v>
      </c>
      <c r="B18" s="22">
        <f t="shared" si="0"/>
        <v>102</v>
      </c>
      <c r="C18" s="22">
        <f t="shared" si="1"/>
        <v>70</v>
      </c>
      <c r="D18" s="12">
        <f t="shared" si="2"/>
        <v>0.59302325581395354</v>
      </c>
      <c r="E18" s="6">
        <f t="shared" ca="1" si="3"/>
        <v>15000</v>
      </c>
      <c r="F18" s="52">
        <f t="shared" ca="1" si="4"/>
        <v>870546.875</v>
      </c>
      <c r="G18" s="52">
        <f t="shared" ca="1" si="5"/>
        <v>252265.625</v>
      </c>
      <c r="H18" s="53">
        <f t="shared" ca="1" si="6"/>
        <v>1122812.5</v>
      </c>
      <c r="M18" s="6">
        <v>2</v>
      </c>
      <c r="N18" s="6">
        <f t="shared" ref="N18:N27" si="10">R3</f>
        <v>10000</v>
      </c>
      <c r="O18" s="12">
        <f t="shared" ref="O18:O27" si="11">S3</f>
        <v>3.125E-2</v>
      </c>
      <c r="P18" s="6" t="e">
        <f t="shared" si="7"/>
        <v>#VALUE!</v>
      </c>
      <c r="Q18" s="22" t="e">
        <f t="shared" ref="Q18:Q27" si="12">IF(N18&lt;=P18,(N18*$E$2),(P18*$E$2))</f>
        <v>#VALUE!</v>
      </c>
      <c r="R18" s="23" t="e">
        <f t="shared" ref="R18:R27" si="13">IF(N18&lt;=P18, (P18-N18)*$E$3, 0)</f>
        <v>#VALUE!</v>
      </c>
      <c r="S18" s="23" t="e">
        <f t="shared" ref="S18:S27" si="14">P18*$N$14</f>
        <v>#VALUE!</v>
      </c>
      <c r="T18" s="22" t="e">
        <f t="shared" si="8"/>
        <v>#VALUE!</v>
      </c>
      <c r="U18" s="22" t="e">
        <f t="shared" ref="U18:U27" si="15">(Q18+R18) - (S18+T18)</f>
        <v>#VALUE!</v>
      </c>
      <c r="V18" s="22" t="e">
        <f t="shared" si="9"/>
        <v>#VALUE!</v>
      </c>
    </row>
    <row r="19" spans="1:22" x14ac:dyDescent="0.3">
      <c r="A19" s="23">
        <v>131</v>
      </c>
      <c r="B19" s="22">
        <f t="shared" si="0"/>
        <v>101.14999999999999</v>
      </c>
      <c r="C19" s="22">
        <f t="shared" si="1"/>
        <v>71</v>
      </c>
      <c r="D19" s="12">
        <f t="shared" si="2"/>
        <v>0.58756898054022655</v>
      </c>
      <c r="E19" s="6">
        <f t="shared" ca="1" si="3"/>
        <v>15000</v>
      </c>
      <c r="F19" s="52">
        <f t="shared" ca="1" si="4"/>
        <v>855546.875</v>
      </c>
      <c r="G19" s="52">
        <f t="shared" ca="1" si="5"/>
        <v>267265.625</v>
      </c>
      <c r="H19" s="53">
        <f t="shared" ca="1" si="6"/>
        <v>1122812.5</v>
      </c>
      <c r="M19" s="6">
        <v>3</v>
      </c>
      <c r="N19" s="6">
        <f t="shared" si="10"/>
        <v>11000</v>
      </c>
      <c r="O19" s="12">
        <f t="shared" si="11"/>
        <v>9.375E-2</v>
      </c>
      <c r="P19" s="6" t="e">
        <f t="shared" si="7"/>
        <v>#VALUE!</v>
      </c>
      <c r="Q19" s="22" t="e">
        <f t="shared" si="12"/>
        <v>#VALUE!</v>
      </c>
      <c r="R19" s="23" t="e">
        <f t="shared" si="13"/>
        <v>#VALUE!</v>
      </c>
      <c r="S19" s="23" t="e">
        <f t="shared" si="14"/>
        <v>#VALUE!</v>
      </c>
      <c r="T19" s="22" t="e">
        <f t="shared" si="8"/>
        <v>#VALUE!</v>
      </c>
      <c r="U19" s="22" t="e">
        <f t="shared" si="15"/>
        <v>#VALUE!</v>
      </c>
      <c r="V19" s="22" t="e">
        <f t="shared" si="9"/>
        <v>#VALUE!</v>
      </c>
    </row>
    <row r="20" spans="1:22" x14ac:dyDescent="0.3">
      <c r="A20" s="23">
        <v>132</v>
      </c>
      <c r="B20" s="22">
        <f t="shared" si="0"/>
        <v>100.3</v>
      </c>
      <c r="C20" s="22">
        <f t="shared" si="1"/>
        <v>72</v>
      </c>
      <c r="D20" s="12">
        <f t="shared" si="2"/>
        <v>0.58212420197330228</v>
      </c>
      <c r="E20" s="6">
        <f t="shared" ca="1" si="3"/>
        <v>15000</v>
      </c>
      <c r="F20" s="52">
        <f t="shared" ca="1" si="4"/>
        <v>840546.875</v>
      </c>
      <c r="G20" s="52">
        <f t="shared" ca="1" si="5"/>
        <v>282265.625</v>
      </c>
      <c r="H20" s="53">
        <f t="shared" ca="1" si="6"/>
        <v>1122812.5</v>
      </c>
      <c r="M20" s="6">
        <v>4</v>
      </c>
      <c r="N20" s="6">
        <f t="shared" si="10"/>
        <v>12000</v>
      </c>
      <c r="O20" s="12">
        <f t="shared" si="11"/>
        <v>9.375E-2</v>
      </c>
      <c r="P20" s="6" t="e">
        <f t="shared" si="7"/>
        <v>#VALUE!</v>
      </c>
      <c r="Q20" s="22" t="e">
        <f t="shared" si="12"/>
        <v>#VALUE!</v>
      </c>
      <c r="R20" s="23" t="e">
        <f t="shared" si="13"/>
        <v>#VALUE!</v>
      </c>
      <c r="S20" s="23" t="e">
        <f t="shared" si="14"/>
        <v>#VALUE!</v>
      </c>
      <c r="T20" s="22" t="e">
        <f t="shared" si="8"/>
        <v>#VALUE!</v>
      </c>
      <c r="U20" s="22" t="e">
        <f t="shared" si="15"/>
        <v>#VALUE!</v>
      </c>
      <c r="V20" s="22" t="e">
        <f t="shared" si="9"/>
        <v>#VALUE!</v>
      </c>
    </row>
    <row r="21" spans="1:22" x14ac:dyDescent="0.3">
      <c r="A21" s="23">
        <v>133</v>
      </c>
      <c r="B21" s="22">
        <f t="shared" si="0"/>
        <v>99.45</v>
      </c>
      <c r="C21" s="22">
        <f t="shared" si="1"/>
        <v>73</v>
      </c>
      <c r="D21" s="12">
        <f t="shared" si="2"/>
        <v>0.57668889533198031</v>
      </c>
      <c r="E21" s="6">
        <f t="shared" ca="1" si="3"/>
        <v>15000</v>
      </c>
      <c r="F21" s="52">
        <f t="shared" ca="1" si="4"/>
        <v>825546.875</v>
      </c>
      <c r="G21" s="52">
        <f t="shared" ca="1" si="5"/>
        <v>297265.625</v>
      </c>
      <c r="H21" s="53">
        <f t="shared" ca="1" si="6"/>
        <v>1122812.5</v>
      </c>
      <c r="M21" s="6">
        <v>5</v>
      </c>
      <c r="N21" s="6">
        <f t="shared" si="10"/>
        <v>13000</v>
      </c>
      <c r="O21" s="12">
        <f t="shared" si="11"/>
        <v>3.125E-2</v>
      </c>
      <c r="P21" s="6" t="e">
        <f t="shared" si="7"/>
        <v>#VALUE!</v>
      </c>
      <c r="Q21" s="22" t="e">
        <f t="shared" si="12"/>
        <v>#VALUE!</v>
      </c>
      <c r="R21" s="23" t="e">
        <f t="shared" si="13"/>
        <v>#VALUE!</v>
      </c>
      <c r="S21" s="23" t="e">
        <f t="shared" si="14"/>
        <v>#VALUE!</v>
      </c>
      <c r="T21" s="22" t="e">
        <f t="shared" si="8"/>
        <v>#VALUE!</v>
      </c>
      <c r="U21" s="22" t="e">
        <f t="shared" si="15"/>
        <v>#VALUE!</v>
      </c>
      <c r="V21" s="22" t="e">
        <f t="shared" si="9"/>
        <v>#VALUE!</v>
      </c>
    </row>
    <row r="22" spans="1:22" x14ac:dyDescent="0.3">
      <c r="A22" s="23">
        <v>134</v>
      </c>
      <c r="B22" s="22">
        <f t="shared" si="0"/>
        <v>98.6</v>
      </c>
      <c r="C22" s="22">
        <f t="shared" si="1"/>
        <v>74</v>
      </c>
      <c r="D22" s="12">
        <f t="shared" si="2"/>
        <v>0.57126303592120509</v>
      </c>
      <c r="E22" s="6">
        <f t="shared" ca="1" si="3"/>
        <v>15000</v>
      </c>
      <c r="F22" s="52">
        <f t="shared" ca="1" si="4"/>
        <v>810546.875</v>
      </c>
      <c r="G22" s="52">
        <f t="shared" ca="1" si="5"/>
        <v>312265.625</v>
      </c>
      <c r="H22" s="53">
        <f t="shared" ca="1" si="6"/>
        <v>1122812.5</v>
      </c>
      <c r="M22" s="6">
        <v>6</v>
      </c>
      <c r="N22" s="6">
        <f t="shared" si="10"/>
        <v>14000</v>
      </c>
      <c r="O22" s="12">
        <f t="shared" si="11"/>
        <v>3.125E-2</v>
      </c>
      <c r="P22" s="6" t="e">
        <f t="shared" si="7"/>
        <v>#VALUE!</v>
      </c>
      <c r="Q22" s="22" t="e">
        <f t="shared" si="12"/>
        <v>#VALUE!</v>
      </c>
      <c r="R22" s="23" t="e">
        <f t="shared" si="13"/>
        <v>#VALUE!</v>
      </c>
      <c r="S22" s="23" t="e">
        <f t="shared" si="14"/>
        <v>#VALUE!</v>
      </c>
      <c r="T22" s="22" t="e">
        <f t="shared" si="8"/>
        <v>#VALUE!</v>
      </c>
      <c r="U22" s="22" t="e">
        <f t="shared" si="15"/>
        <v>#VALUE!</v>
      </c>
      <c r="V22" s="22" t="e">
        <f t="shared" si="9"/>
        <v>#VALUE!</v>
      </c>
    </row>
    <row r="23" spans="1:22" x14ac:dyDescent="0.3">
      <c r="A23" s="23">
        <v>135</v>
      </c>
      <c r="B23" s="22">
        <f t="shared" si="0"/>
        <v>97.75</v>
      </c>
      <c r="C23" s="22">
        <f t="shared" si="1"/>
        <v>75</v>
      </c>
      <c r="D23" s="12">
        <f t="shared" si="2"/>
        <v>0.56584659913169322</v>
      </c>
      <c r="E23" s="6">
        <f t="shared" ca="1" si="3"/>
        <v>15000</v>
      </c>
      <c r="F23" s="52">
        <f t="shared" ca="1" si="4"/>
        <v>795546.875</v>
      </c>
      <c r="G23" s="52">
        <f t="shared" ca="1" si="5"/>
        <v>327265.625</v>
      </c>
      <c r="H23" s="53">
        <f t="shared" ca="1" si="6"/>
        <v>1122812.5</v>
      </c>
      <c r="M23" s="6">
        <v>7</v>
      </c>
      <c r="N23" s="6">
        <f t="shared" si="10"/>
        <v>15000</v>
      </c>
      <c r="O23" s="12">
        <f t="shared" si="11"/>
        <v>6.25E-2</v>
      </c>
      <c r="P23" s="6" t="e">
        <f t="shared" si="7"/>
        <v>#VALUE!</v>
      </c>
      <c r="Q23" s="22" t="e">
        <f t="shared" si="12"/>
        <v>#VALUE!</v>
      </c>
      <c r="R23" s="23" t="e">
        <f t="shared" si="13"/>
        <v>#VALUE!</v>
      </c>
      <c r="S23" s="23" t="e">
        <f t="shared" si="14"/>
        <v>#VALUE!</v>
      </c>
      <c r="T23" s="22" t="e">
        <f t="shared" si="8"/>
        <v>#VALUE!</v>
      </c>
      <c r="U23" s="22" t="e">
        <f t="shared" si="15"/>
        <v>#VALUE!</v>
      </c>
      <c r="V23" s="22" t="e">
        <f t="shared" si="9"/>
        <v>#VALUE!</v>
      </c>
    </row>
    <row r="24" spans="1:22" x14ac:dyDescent="0.3">
      <c r="A24" s="23">
        <v>136</v>
      </c>
      <c r="B24" s="22">
        <f t="shared" si="0"/>
        <v>96.899999999999991</v>
      </c>
      <c r="C24" s="22">
        <f t="shared" si="1"/>
        <v>76</v>
      </c>
      <c r="D24" s="12">
        <f t="shared" si="2"/>
        <v>0.56043956043956045</v>
      </c>
      <c r="E24" s="6">
        <f t="shared" ca="1" si="3"/>
        <v>15000</v>
      </c>
      <c r="F24" s="52">
        <f t="shared" ca="1" si="4"/>
        <v>780546.875</v>
      </c>
      <c r="G24" s="52">
        <f t="shared" ca="1" si="5"/>
        <v>342265.625</v>
      </c>
      <c r="H24" s="53">
        <f t="shared" ca="1" si="6"/>
        <v>1122812.5</v>
      </c>
      <c r="M24" s="6">
        <v>8</v>
      </c>
      <c r="N24" s="6">
        <f t="shared" si="10"/>
        <v>16000</v>
      </c>
      <c r="O24" s="12">
        <f t="shared" si="11"/>
        <v>3.125E-2</v>
      </c>
      <c r="P24" s="6" t="e">
        <f t="shared" si="7"/>
        <v>#VALUE!</v>
      </c>
      <c r="Q24" s="22" t="e">
        <f t="shared" si="12"/>
        <v>#VALUE!</v>
      </c>
      <c r="R24" s="23" t="e">
        <f t="shared" si="13"/>
        <v>#VALUE!</v>
      </c>
      <c r="S24" s="23" t="e">
        <f t="shared" si="14"/>
        <v>#VALUE!</v>
      </c>
      <c r="T24" s="22" t="e">
        <f t="shared" si="8"/>
        <v>#VALUE!</v>
      </c>
      <c r="U24" s="22" t="e">
        <f t="shared" si="15"/>
        <v>#VALUE!</v>
      </c>
      <c r="V24" s="22" t="e">
        <f t="shared" si="9"/>
        <v>#VALUE!</v>
      </c>
    </row>
    <row r="25" spans="1:22" x14ac:dyDescent="0.3">
      <c r="A25" s="23">
        <v>137</v>
      </c>
      <c r="B25" s="22">
        <f t="shared" si="0"/>
        <v>96.05</v>
      </c>
      <c r="C25" s="22">
        <f t="shared" si="1"/>
        <v>77</v>
      </c>
      <c r="D25" s="12">
        <f t="shared" si="2"/>
        <v>0.55504189540595195</v>
      </c>
      <c r="E25" s="6">
        <f t="shared" ca="1" si="3"/>
        <v>15000</v>
      </c>
      <c r="F25" s="52">
        <f t="shared" ca="1" si="4"/>
        <v>765546.875</v>
      </c>
      <c r="G25" s="52">
        <f t="shared" ca="1" si="5"/>
        <v>357265.625</v>
      </c>
      <c r="H25" s="53">
        <f t="shared" ca="1" si="6"/>
        <v>1122812.5</v>
      </c>
      <c r="M25" s="6">
        <v>9</v>
      </c>
      <c r="N25" s="6">
        <f t="shared" si="10"/>
        <v>17000</v>
      </c>
      <c r="O25" s="12">
        <f t="shared" si="11"/>
        <v>6.25E-2</v>
      </c>
      <c r="P25" s="6" t="e">
        <f t="shared" si="7"/>
        <v>#VALUE!</v>
      </c>
      <c r="Q25" s="22" t="e">
        <f t="shared" si="12"/>
        <v>#VALUE!</v>
      </c>
      <c r="R25" s="23" t="e">
        <f t="shared" si="13"/>
        <v>#VALUE!</v>
      </c>
      <c r="S25" s="23" t="e">
        <f t="shared" si="14"/>
        <v>#VALUE!</v>
      </c>
      <c r="T25" s="22" t="e">
        <f t="shared" si="8"/>
        <v>#VALUE!</v>
      </c>
      <c r="U25" s="22" t="e">
        <f t="shared" si="15"/>
        <v>#VALUE!</v>
      </c>
      <c r="V25" s="22" t="e">
        <f t="shared" si="9"/>
        <v>#VALUE!</v>
      </c>
    </row>
    <row r="26" spans="1:22" x14ac:dyDescent="0.3">
      <c r="A26" s="23">
        <v>138</v>
      </c>
      <c r="B26" s="22">
        <f t="shared" si="0"/>
        <v>95.2</v>
      </c>
      <c r="C26" s="22">
        <f t="shared" si="1"/>
        <v>78</v>
      </c>
      <c r="D26" s="12">
        <f t="shared" si="2"/>
        <v>0.54965357967667439</v>
      </c>
      <c r="E26" s="6">
        <f t="shared" ca="1" si="3"/>
        <v>15000</v>
      </c>
      <c r="F26" s="52">
        <f t="shared" ca="1" si="4"/>
        <v>750546.875</v>
      </c>
      <c r="G26" s="52">
        <f t="shared" ca="1" si="5"/>
        <v>372265.625</v>
      </c>
      <c r="H26" s="53">
        <f t="shared" ca="1" si="6"/>
        <v>1122812.5</v>
      </c>
      <c r="M26" s="6">
        <v>10</v>
      </c>
      <c r="N26" s="6">
        <f t="shared" si="10"/>
        <v>18000</v>
      </c>
      <c r="O26" s="12">
        <f t="shared" si="11"/>
        <v>0.15625</v>
      </c>
      <c r="P26" s="6" t="e">
        <f t="shared" si="7"/>
        <v>#VALUE!</v>
      </c>
      <c r="Q26" s="22" t="e">
        <f t="shared" si="12"/>
        <v>#VALUE!</v>
      </c>
      <c r="R26" s="23" t="e">
        <f t="shared" si="13"/>
        <v>#VALUE!</v>
      </c>
      <c r="S26" s="23" t="e">
        <f t="shared" si="14"/>
        <v>#VALUE!</v>
      </c>
      <c r="T26" s="22" t="e">
        <f t="shared" si="8"/>
        <v>#VALUE!</v>
      </c>
      <c r="U26" s="22" t="e">
        <f t="shared" si="15"/>
        <v>#VALUE!</v>
      </c>
      <c r="V26" s="22" t="e">
        <f t="shared" si="9"/>
        <v>#VALUE!</v>
      </c>
    </row>
    <row r="27" spans="1:22" x14ac:dyDescent="0.3">
      <c r="A27" s="23">
        <v>139</v>
      </c>
      <c r="B27" s="22">
        <f t="shared" si="0"/>
        <v>94.35</v>
      </c>
      <c r="C27" s="22">
        <f t="shared" si="1"/>
        <v>79</v>
      </c>
      <c r="D27" s="12">
        <f t="shared" si="2"/>
        <v>0.54427458898182868</v>
      </c>
      <c r="E27" s="6">
        <f t="shared" ca="1" si="3"/>
        <v>15000</v>
      </c>
      <c r="F27" s="52">
        <f t="shared" ca="1" si="4"/>
        <v>735546.875</v>
      </c>
      <c r="G27" s="52">
        <f t="shared" ca="1" si="5"/>
        <v>387265.625</v>
      </c>
      <c r="H27" s="53">
        <f t="shared" ca="1" si="6"/>
        <v>1122812.5</v>
      </c>
      <c r="M27" s="6">
        <v>11</v>
      </c>
      <c r="N27" s="6">
        <f t="shared" si="10"/>
        <v>19000</v>
      </c>
      <c r="O27" s="12">
        <f t="shared" si="11"/>
        <v>0.15625</v>
      </c>
      <c r="P27" s="6" t="e">
        <f t="shared" si="7"/>
        <v>#VALUE!</v>
      </c>
      <c r="Q27" s="22" t="e">
        <f t="shared" si="12"/>
        <v>#VALUE!</v>
      </c>
      <c r="R27" s="23" t="e">
        <f t="shared" si="13"/>
        <v>#VALUE!</v>
      </c>
      <c r="S27" s="23" t="e">
        <f t="shared" si="14"/>
        <v>#VALUE!</v>
      </c>
      <c r="T27" s="22" t="e">
        <f t="shared" si="8"/>
        <v>#VALUE!</v>
      </c>
      <c r="U27" s="22" t="e">
        <f t="shared" si="15"/>
        <v>#VALUE!</v>
      </c>
      <c r="V27" s="22" t="e">
        <f t="shared" si="9"/>
        <v>#VALUE!</v>
      </c>
    </row>
    <row r="28" spans="1:22" x14ac:dyDescent="0.3">
      <c r="A28" s="23">
        <v>140</v>
      </c>
      <c r="B28" s="22">
        <f t="shared" si="0"/>
        <v>93.5</v>
      </c>
      <c r="C28" s="22">
        <f t="shared" si="1"/>
        <v>80</v>
      </c>
      <c r="D28" s="12">
        <f t="shared" si="2"/>
        <v>0.5389048991354467</v>
      </c>
      <c r="E28" s="6">
        <f t="shared" ca="1" si="3"/>
        <v>15000</v>
      </c>
      <c r="F28" s="52">
        <f t="shared" ca="1" si="4"/>
        <v>720546.875</v>
      </c>
      <c r="G28" s="52">
        <f t="shared" ca="1" si="5"/>
        <v>402265.625</v>
      </c>
      <c r="H28" s="53">
        <f t="shared" ca="1" si="6"/>
        <v>1122812.5</v>
      </c>
      <c r="M28" s="135" t="s">
        <v>38</v>
      </c>
      <c r="N28" s="136"/>
      <c r="O28" s="136"/>
      <c r="P28" s="136"/>
      <c r="Q28" s="136"/>
      <c r="R28" s="136"/>
      <c r="S28" s="136"/>
      <c r="T28" s="137"/>
      <c r="U28" s="145" t="e">
        <f>SUM(V17:V27)</f>
        <v>#VALUE!</v>
      </c>
      <c r="V28" s="145"/>
    </row>
    <row r="29" spans="1:22" x14ac:dyDescent="0.3">
      <c r="A29" s="23">
        <v>141</v>
      </c>
      <c r="B29" s="22">
        <f t="shared" si="0"/>
        <v>92.649999999999991</v>
      </c>
      <c r="C29" s="22">
        <f t="shared" si="1"/>
        <v>81</v>
      </c>
      <c r="D29" s="12">
        <f t="shared" si="2"/>
        <v>0.53354448603512816</v>
      </c>
      <c r="E29" s="6">
        <f t="shared" ca="1" si="3"/>
        <v>15000</v>
      </c>
      <c r="F29" s="52">
        <f t="shared" ca="1" si="4"/>
        <v>705546.875</v>
      </c>
      <c r="G29" s="52">
        <f t="shared" ca="1" si="5"/>
        <v>417265.625</v>
      </c>
      <c r="H29" s="53">
        <f t="shared" ca="1" si="6"/>
        <v>1122812.5</v>
      </c>
    </row>
    <row r="30" spans="1:22" x14ac:dyDescent="0.3">
      <c r="A30" s="23">
        <v>142</v>
      </c>
      <c r="B30" s="22">
        <f t="shared" si="0"/>
        <v>91.8</v>
      </c>
      <c r="C30" s="22">
        <f t="shared" si="1"/>
        <v>82</v>
      </c>
      <c r="D30" s="12">
        <f t="shared" si="2"/>
        <v>0.52819332566168009</v>
      </c>
      <c r="E30" s="6">
        <f t="shared" ca="1" si="3"/>
        <v>14000</v>
      </c>
      <c r="F30" s="52">
        <f t="shared" ca="1" si="4"/>
        <v>701062.5</v>
      </c>
      <c r="G30" s="52">
        <f t="shared" ca="1" si="5"/>
        <v>412687.5</v>
      </c>
      <c r="H30" s="53">
        <f t="shared" ca="1" si="6"/>
        <v>1113750</v>
      </c>
    </row>
    <row r="31" spans="1:22" x14ac:dyDescent="0.3">
      <c r="A31" s="23">
        <v>143</v>
      </c>
      <c r="B31" s="22">
        <f t="shared" si="0"/>
        <v>90.95</v>
      </c>
      <c r="C31" s="22">
        <f t="shared" si="1"/>
        <v>83</v>
      </c>
      <c r="D31" s="12">
        <f t="shared" si="2"/>
        <v>0.52285139407875836</v>
      </c>
      <c r="E31" s="6">
        <f t="shared" ca="1" si="3"/>
        <v>14000</v>
      </c>
      <c r="F31" s="52">
        <f t="shared" ca="1" si="4"/>
        <v>687062.5</v>
      </c>
      <c r="G31" s="52">
        <f t="shared" ca="1" si="5"/>
        <v>426687.5</v>
      </c>
      <c r="H31" s="53">
        <f t="shared" ca="1" si="6"/>
        <v>1113750</v>
      </c>
      <c r="M31" s="2" t="s">
        <v>36</v>
      </c>
    </row>
    <row r="32" spans="1:22" x14ac:dyDescent="0.3">
      <c r="A32" s="23">
        <v>144</v>
      </c>
      <c r="B32" s="22">
        <f t="shared" si="0"/>
        <v>90.1</v>
      </c>
      <c r="C32" s="22">
        <f t="shared" si="1"/>
        <v>84</v>
      </c>
      <c r="D32" s="12">
        <f t="shared" si="2"/>
        <v>0.51751866743251007</v>
      </c>
      <c r="E32" s="6">
        <f t="shared" ca="1" si="3"/>
        <v>14000</v>
      </c>
      <c r="F32" s="52">
        <f t="shared" ca="1" si="4"/>
        <v>673062.5</v>
      </c>
      <c r="G32" s="52">
        <f t="shared" ca="1" si="5"/>
        <v>440687.5</v>
      </c>
      <c r="H32" s="53">
        <f t="shared" ca="1" si="6"/>
        <v>1113750</v>
      </c>
    </row>
    <row r="33" spans="1:22" x14ac:dyDescent="0.3">
      <c r="A33" s="23">
        <v>145</v>
      </c>
      <c r="B33" s="22">
        <f t="shared" si="0"/>
        <v>89.25</v>
      </c>
      <c r="C33" s="22">
        <f t="shared" si="1"/>
        <v>85</v>
      </c>
      <c r="D33" s="12">
        <f t="shared" si="2"/>
        <v>0.51219512195121952</v>
      </c>
      <c r="E33" s="6">
        <f t="shared" ca="1" si="3"/>
        <v>14000</v>
      </c>
      <c r="F33" s="52">
        <f t="shared" ca="1" si="4"/>
        <v>659062.5</v>
      </c>
      <c r="G33" s="52">
        <f t="shared" ca="1" si="5"/>
        <v>454687.5</v>
      </c>
      <c r="H33" s="53">
        <f t="shared" ca="1" si="6"/>
        <v>1113750</v>
      </c>
      <c r="M33" s="8" t="s">
        <v>35</v>
      </c>
      <c r="N33" s="5">
        <f>'Data From Case'!E3</f>
        <v>140</v>
      </c>
    </row>
    <row r="34" spans="1:22" x14ac:dyDescent="0.3">
      <c r="A34" s="23">
        <v>146</v>
      </c>
      <c r="B34" s="22">
        <f t="shared" si="0"/>
        <v>88.399999999999991</v>
      </c>
      <c r="C34" s="22">
        <f t="shared" si="1"/>
        <v>86</v>
      </c>
      <c r="D34" s="12">
        <f t="shared" si="2"/>
        <v>0.50688073394495414</v>
      </c>
      <c r="E34" s="6">
        <f t="shared" ca="1" si="3"/>
        <v>14000</v>
      </c>
      <c r="F34" s="52">
        <f t="shared" ca="1" si="4"/>
        <v>645062.5</v>
      </c>
      <c r="G34" s="52">
        <f t="shared" ca="1" si="5"/>
        <v>468687.5</v>
      </c>
      <c r="H34" s="53">
        <f t="shared" ca="1" si="6"/>
        <v>1113750</v>
      </c>
      <c r="M34" s="8" t="s">
        <v>10</v>
      </c>
      <c r="N34" s="5">
        <f>'Data From Case'!E4</f>
        <v>70000</v>
      </c>
    </row>
    <row r="35" spans="1:22" x14ac:dyDescent="0.3">
      <c r="A35" s="23">
        <v>147</v>
      </c>
      <c r="B35" s="22">
        <f t="shared" si="0"/>
        <v>87.55</v>
      </c>
      <c r="C35" s="22">
        <f t="shared" si="1"/>
        <v>87</v>
      </c>
      <c r="D35" s="12">
        <f t="shared" si="2"/>
        <v>0.50157547980521333</v>
      </c>
      <c r="E35" s="6">
        <f t="shared" ca="1" si="3"/>
        <v>14000</v>
      </c>
      <c r="F35" s="52">
        <f t="shared" ca="1" si="4"/>
        <v>631062.5</v>
      </c>
      <c r="G35" s="52">
        <f t="shared" ca="1" si="5"/>
        <v>482687.5</v>
      </c>
      <c r="H35" s="53">
        <f t="shared" ca="1" si="6"/>
        <v>1113750</v>
      </c>
    </row>
    <row r="36" spans="1:22" x14ac:dyDescent="0.3">
      <c r="A36" s="65">
        <v>148</v>
      </c>
      <c r="B36" s="22">
        <f t="shared" si="0"/>
        <v>86.7</v>
      </c>
      <c r="C36" s="66">
        <f t="shared" si="1"/>
        <v>88</v>
      </c>
      <c r="D36" s="67">
        <f t="shared" si="2"/>
        <v>0.49627933600457935</v>
      </c>
      <c r="E36" s="6">
        <f t="shared" ca="1" si="3"/>
        <v>13000</v>
      </c>
      <c r="F36" s="68">
        <f t="shared" ca="1" si="4"/>
        <v>628812.5</v>
      </c>
      <c r="G36" s="68">
        <f t="shared" ca="1" si="5"/>
        <v>469937.5</v>
      </c>
      <c r="H36" s="69">
        <f t="shared" ca="1" si="6"/>
        <v>1098750</v>
      </c>
    </row>
    <row r="37" spans="1:22" ht="33" x14ac:dyDescent="0.3">
      <c r="A37" s="61">
        <v>149</v>
      </c>
      <c r="B37" s="62">
        <f t="shared" si="0"/>
        <v>85.85</v>
      </c>
      <c r="C37" s="62">
        <f t="shared" si="1"/>
        <v>89</v>
      </c>
      <c r="D37" s="63">
        <f t="shared" si="2"/>
        <v>0.49099227909636828</v>
      </c>
      <c r="E37" s="6">
        <f t="shared" ca="1" si="3"/>
        <v>13000</v>
      </c>
      <c r="F37" s="54">
        <f t="shared" ca="1" si="4"/>
        <v>615812.5</v>
      </c>
      <c r="G37" s="54">
        <f t="shared" ca="1" si="5"/>
        <v>482937.5</v>
      </c>
      <c r="H37" s="55">
        <f t="shared" ca="1" si="6"/>
        <v>1098750</v>
      </c>
      <c r="M37" s="8" t="s">
        <v>0</v>
      </c>
      <c r="N37" s="8" t="s">
        <v>4</v>
      </c>
      <c r="O37" s="8" t="s">
        <v>5</v>
      </c>
      <c r="P37" s="21" t="s">
        <v>32</v>
      </c>
      <c r="Q37" s="21" t="s">
        <v>33</v>
      </c>
      <c r="R37" s="8" t="s">
        <v>63</v>
      </c>
      <c r="S37" s="21" t="s">
        <v>39</v>
      </c>
      <c r="T37" s="21" t="s">
        <v>40</v>
      </c>
      <c r="U37" s="8" t="s">
        <v>3</v>
      </c>
      <c r="V37" s="8" t="s">
        <v>7</v>
      </c>
    </row>
    <row r="38" spans="1:22" x14ac:dyDescent="0.3">
      <c r="A38" s="61">
        <v>150</v>
      </c>
      <c r="B38" s="22">
        <f t="shared" si="0"/>
        <v>85</v>
      </c>
      <c r="C38" s="62">
        <f t="shared" si="1"/>
        <v>90</v>
      </c>
      <c r="D38" s="63">
        <f t="shared" si="2"/>
        <v>0.48571428571428571</v>
      </c>
      <c r="E38" s="6">
        <f t="shared" ca="1" si="3"/>
        <v>13000</v>
      </c>
      <c r="F38" s="54">
        <f t="shared" ca="1" si="4"/>
        <v>602812.5</v>
      </c>
      <c r="G38" s="54">
        <f t="shared" ca="1" si="5"/>
        <v>495937.5</v>
      </c>
      <c r="H38" s="55">
        <f t="shared" ca="1" si="6"/>
        <v>1098750</v>
      </c>
      <c r="M38" s="6">
        <v>1</v>
      </c>
      <c r="N38" s="6">
        <f>R2</f>
        <v>9000</v>
      </c>
      <c r="O38" s="12">
        <f>S2</f>
        <v>0.25</v>
      </c>
      <c r="P38" s="6" t="e">
        <f>$V$14</f>
        <v>#VALUE!</v>
      </c>
      <c r="Q38" s="22" t="e">
        <f>P38*$N$14</f>
        <v>#VALUE!</v>
      </c>
      <c r="R38" s="23" t="e">
        <f>T17</f>
        <v>#VALUE!</v>
      </c>
      <c r="S38" s="23" t="e">
        <f>P38*$N$33</f>
        <v>#VALUE!</v>
      </c>
      <c r="T38" s="22">
        <f>$N$34</f>
        <v>70000</v>
      </c>
      <c r="U38" s="22" t="e">
        <f>(Q38+R38) - (S38+T38)</f>
        <v>#VALUE!</v>
      </c>
      <c r="V38" s="22" t="e">
        <f>U38*O38</f>
        <v>#VALUE!</v>
      </c>
    </row>
    <row r="39" spans="1:22" ht="16.5" customHeight="1" x14ac:dyDescent="0.3">
      <c r="A39" s="61">
        <v>151</v>
      </c>
      <c r="B39" s="62">
        <f t="shared" si="0"/>
        <v>84.149999999999991</v>
      </c>
      <c r="C39" s="62">
        <f t="shared" si="1"/>
        <v>91</v>
      </c>
      <c r="D39" s="63">
        <f t="shared" si="2"/>
        <v>0.48044533257208111</v>
      </c>
      <c r="E39" s="6">
        <f t="shared" ca="1" si="3"/>
        <v>13000</v>
      </c>
      <c r="F39" s="54">
        <f t="shared" ca="1" si="4"/>
        <v>589812.5</v>
      </c>
      <c r="G39" s="54">
        <f t="shared" ca="1" si="5"/>
        <v>508937.5</v>
      </c>
      <c r="H39" s="55">
        <f t="shared" ca="1" si="6"/>
        <v>1098750</v>
      </c>
      <c r="J39" s="51"/>
      <c r="M39" s="6">
        <v>2</v>
      </c>
      <c r="N39" s="6">
        <f t="shared" ref="N39:N48" si="16">R3</f>
        <v>10000</v>
      </c>
      <c r="O39" s="12">
        <f t="shared" ref="O39:O48" si="17">S3</f>
        <v>3.125E-2</v>
      </c>
      <c r="P39" s="6" t="e">
        <f t="shared" ref="P39:P48" si="18">$V$14</f>
        <v>#VALUE!</v>
      </c>
      <c r="Q39" s="22" t="e">
        <f t="shared" ref="Q39:Q48" si="19">P39*$N$14</f>
        <v>#VALUE!</v>
      </c>
      <c r="R39" s="23" t="e">
        <f t="shared" ref="R39:R48" si="20">T18</f>
        <v>#VALUE!</v>
      </c>
      <c r="S39" s="23" t="e">
        <f t="shared" ref="S39:S48" si="21">P39*$N$33</f>
        <v>#VALUE!</v>
      </c>
      <c r="T39" s="22">
        <f t="shared" ref="T39:T48" si="22">$N$34</f>
        <v>70000</v>
      </c>
      <c r="U39" s="22" t="e">
        <f t="shared" ref="U39:U48" si="23">(Q39+R39) - (S39+T39)</f>
        <v>#VALUE!</v>
      </c>
      <c r="V39" s="22" t="e">
        <f t="shared" ref="V39:V48" si="24">U39*O39</f>
        <v>#VALUE!</v>
      </c>
    </row>
    <row r="40" spans="1:22" x14ac:dyDescent="0.3">
      <c r="A40" s="61">
        <v>152</v>
      </c>
      <c r="B40" s="62">
        <f t="shared" si="0"/>
        <v>83.3</v>
      </c>
      <c r="C40" s="62">
        <f t="shared" si="1"/>
        <v>92</v>
      </c>
      <c r="D40" s="63">
        <f t="shared" si="2"/>
        <v>0.4751853964632059</v>
      </c>
      <c r="E40" s="6">
        <f t="shared" ca="1" si="3"/>
        <v>13000</v>
      </c>
      <c r="F40" s="54">
        <f t="shared" ca="1" si="4"/>
        <v>576812.5</v>
      </c>
      <c r="G40" s="54">
        <f t="shared" ca="1" si="5"/>
        <v>521937.5</v>
      </c>
      <c r="H40" s="55">
        <f t="shared" ca="1" si="6"/>
        <v>1098750</v>
      </c>
      <c r="J40" s="51"/>
      <c r="M40" s="6">
        <v>3</v>
      </c>
      <c r="N40" s="6">
        <f t="shared" si="16"/>
        <v>11000</v>
      </c>
      <c r="O40" s="12">
        <f t="shared" si="17"/>
        <v>9.375E-2</v>
      </c>
      <c r="P40" s="6" t="e">
        <f t="shared" si="18"/>
        <v>#VALUE!</v>
      </c>
      <c r="Q40" s="22" t="e">
        <f t="shared" si="19"/>
        <v>#VALUE!</v>
      </c>
      <c r="R40" s="23" t="e">
        <f t="shared" si="20"/>
        <v>#VALUE!</v>
      </c>
      <c r="S40" s="23" t="e">
        <f t="shared" si="21"/>
        <v>#VALUE!</v>
      </c>
      <c r="T40" s="22">
        <f t="shared" si="22"/>
        <v>70000</v>
      </c>
      <c r="U40" s="22" t="e">
        <f t="shared" si="23"/>
        <v>#VALUE!</v>
      </c>
      <c r="V40" s="22" t="e">
        <f t="shared" si="24"/>
        <v>#VALUE!</v>
      </c>
    </row>
    <row r="41" spans="1:22" x14ac:dyDescent="0.3">
      <c r="A41" s="56">
        <v>153</v>
      </c>
      <c r="B41" s="57">
        <f t="shared" si="0"/>
        <v>82.45</v>
      </c>
      <c r="C41" s="57">
        <f t="shared" si="1"/>
        <v>93</v>
      </c>
      <c r="D41" s="58">
        <f t="shared" si="2"/>
        <v>0.46993445426047309</v>
      </c>
      <c r="E41" s="106">
        <f t="shared" ca="1" si="3"/>
        <v>13000</v>
      </c>
      <c r="F41" s="59">
        <f t="shared" ca="1" si="4"/>
        <v>563812.5</v>
      </c>
      <c r="G41" s="59">
        <f t="shared" ca="1" si="5"/>
        <v>534937.5</v>
      </c>
      <c r="H41" s="60">
        <f t="shared" ca="1" si="6"/>
        <v>1098750</v>
      </c>
      <c r="J41" s="51"/>
      <c r="M41" s="6">
        <v>4</v>
      </c>
      <c r="N41" s="6">
        <f t="shared" si="16"/>
        <v>12000</v>
      </c>
      <c r="O41" s="12">
        <f t="shared" si="17"/>
        <v>9.375E-2</v>
      </c>
      <c r="P41" s="6" t="e">
        <f t="shared" si="18"/>
        <v>#VALUE!</v>
      </c>
      <c r="Q41" s="22" t="e">
        <f t="shared" si="19"/>
        <v>#VALUE!</v>
      </c>
      <c r="R41" s="23" t="e">
        <f t="shared" si="20"/>
        <v>#VALUE!</v>
      </c>
      <c r="S41" s="23" t="e">
        <f t="shared" si="21"/>
        <v>#VALUE!</v>
      </c>
      <c r="T41" s="22">
        <f t="shared" si="22"/>
        <v>70000</v>
      </c>
      <c r="U41" s="22" t="e">
        <f t="shared" si="23"/>
        <v>#VALUE!</v>
      </c>
      <c r="V41" s="22" t="e">
        <f t="shared" si="24"/>
        <v>#VALUE!</v>
      </c>
    </row>
    <row r="42" spans="1:22" x14ac:dyDescent="0.3">
      <c r="A42" s="61">
        <v>154</v>
      </c>
      <c r="B42" s="62">
        <f t="shared" si="0"/>
        <v>81.599999999999994</v>
      </c>
      <c r="C42" s="62">
        <f t="shared" si="1"/>
        <v>94</v>
      </c>
      <c r="D42" s="63">
        <f t="shared" si="2"/>
        <v>0.46469248291571752</v>
      </c>
      <c r="E42" s="6">
        <f t="shared" ca="1" si="3"/>
        <v>12000</v>
      </c>
      <c r="F42" s="54">
        <f t="shared" ca="1" si="4"/>
        <v>563796.875</v>
      </c>
      <c r="G42" s="54">
        <f t="shared" ca="1" si="5"/>
        <v>514015.625</v>
      </c>
      <c r="H42" s="55">
        <f t="shared" ca="1" si="6"/>
        <v>1077812.5</v>
      </c>
      <c r="J42" s="51"/>
      <c r="M42" s="6">
        <v>5</v>
      </c>
      <c r="N42" s="6">
        <f t="shared" si="16"/>
        <v>13000</v>
      </c>
      <c r="O42" s="12">
        <f t="shared" si="17"/>
        <v>3.125E-2</v>
      </c>
      <c r="P42" s="6" t="e">
        <f t="shared" si="18"/>
        <v>#VALUE!</v>
      </c>
      <c r="Q42" s="22" t="e">
        <f t="shared" si="19"/>
        <v>#VALUE!</v>
      </c>
      <c r="R42" s="23" t="e">
        <f t="shared" si="20"/>
        <v>#VALUE!</v>
      </c>
      <c r="S42" s="23" t="e">
        <f t="shared" si="21"/>
        <v>#VALUE!</v>
      </c>
      <c r="T42" s="22">
        <f t="shared" si="22"/>
        <v>70000</v>
      </c>
      <c r="U42" s="22" t="e">
        <f t="shared" si="23"/>
        <v>#VALUE!</v>
      </c>
      <c r="V42" s="22" t="e">
        <f t="shared" si="24"/>
        <v>#VALUE!</v>
      </c>
    </row>
    <row r="43" spans="1:22" ht="17.25" thickBot="1" x14ac:dyDescent="0.35">
      <c r="A43" s="87">
        <v>155</v>
      </c>
      <c r="B43" s="88">
        <f t="shared" si="0"/>
        <v>80.75</v>
      </c>
      <c r="C43" s="88">
        <f t="shared" si="1"/>
        <v>95</v>
      </c>
      <c r="D43" s="89">
        <f t="shared" si="2"/>
        <v>0.45945945945945948</v>
      </c>
      <c r="E43" s="117">
        <f t="shared" ca="1" si="3"/>
        <v>12000</v>
      </c>
      <c r="F43" s="70">
        <f t="shared" ca="1" si="4"/>
        <v>551796.875</v>
      </c>
      <c r="G43" s="70">
        <f t="shared" ca="1" si="5"/>
        <v>526015.625</v>
      </c>
      <c r="H43" s="72">
        <f t="shared" ca="1" si="6"/>
        <v>1077812.5</v>
      </c>
      <c r="J43" s="51"/>
      <c r="M43" s="6">
        <v>6</v>
      </c>
      <c r="N43" s="6">
        <f t="shared" si="16"/>
        <v>14000</v>
      </c>
      <c r="O43" s="12">
        <f t="shared" si="17"/>
        <v>3.125E-2</v>
      </c>
      <c r="P43" s="6" t="e">
        <f t="shared" si="18"/>
        <v>#VALUE!</v>
      </c>
      <c r="Q43" s="22" t="e">
        <f t="shared" si="19"/>
        <v>#VALUE!</v>
      </c>
      <c r="R43" s="23" t="e">
        <f t="shared" si="20"/>
        <v>#VALUE!</v>
      </c>
      <c r="S43" s="23" t="e">
        <f t="shared" si="21"/>
        <v>#VALUE!</v>
      </c>
      <c r="T43" s="22">
        <f t="shared" si="22"/>
        <v>70000</v>
      </c>
      <c r="U43" s="22" t="e">
        <f t="shared" si="23"/>
        <v>#VALUE!</v>
      </c>
      <c r="V43" s="22" t="e">
        <f t="shared" si="24"/>
        <v>#VALUE!</v>
      </c>
    </row>
    <row r="44" spans="1:22" x14ac:dyDescent="0.3">
      <c r="A44" s="107">
        <v>156</v>
      </c>
      <c r="B44" s="108">
        <f t="shared" si="0"/>
        <v>79.899999999999991</v>
      </c>
      <c r="C44" s="108">
        <f t="shared" si="1"/>
        <v>96</v>
      </c>
      <c r="D44" s="109">
        <f t="shared" si="2"/>
        <v>0.45423536100056849</v>
      </c>
      <c r="E44" s="110">
        <f t="shared" ca="1" si="3"/>
        <v>12000</v>
      </c>
      <c r="F44" s="111">
        <f t="shared" ca="1" si="4"/>
        <v>539796.875</v>
      </c>
      <c r="G44" s="111">
        <f t="shared" ca="1" si="5"/>
        <v>538015.625</v>
      </c>
      <c r="H44" s="112">
        <f t="shared" ca="1" si="6"/>
        <v>1077812.5</v>
      </c>
      <c r="J44" s="149" t="s">
        <v>57</v>
      </c>
      <c r="M44" s="6">
        <v>7</v>
      </c>
      <c r="N44" s="6">
        <f t="shared" si="16"/>
        <v>15000</v>
      </c>
      <c r="O44" s="12">
        <f t="shared" si="17"/>
        <v>6.25E-2</v>
      </c>
      <c r="P44" s="6" t="e">
        <f t="shared" si="18"/>
        <v>#VALUE!</v>
      </c>
      <c r="Q44" s="22" t="e">
        <f t="shared" si="19"/>
        <v>#VALUE!</v>
      </c>
      <c r="R44" s="23" t="e">
        <f t="shared" si="20"/>
        <v>#VALUE!</v>
      </c>
      <c r="S44" s="23" t="e">
        <f t="shared" si="21"/>
        <v>#VALUE!</v>
      </c>
      <c r="T44" s="22">
        <f t="shared" si="22"/>
        <v>70000</v>
      </c>
      <c r="U44" s="22" t="e">
        <f t="shared" si="23"/>
        <v>#VALUE!</v>
      </c>
      <c r="V44" s="22" t="e">
        <f t="shared" si="24"/>
        <v>#VALUE!</v>
      </c>
    </row>
    <row r="45" spans="1:22" x14ac:dyDescent="0.3">
      <c r="A45" s="113">
        <v>157</v>
      </c>
      <c r="B45" s="57">
        <f t="shared" si="0"/>
        <v>79.05</v>
      </c>
      <c r="C45" s="57">
        <f t="shared" si="1"/>
        <v>97</v>
      </c>
      <c r="D45" s="58">
        <f t="shared" si="2"/>
        <v>0.44902016472593009</v>
      </c>
      <c r="E45" s="106">
        <f t="shared" ca="1" si="3"/>
        <v>12000</v>
      </c>
      <c r="F45" s="59">
        <f t="shared" ca="1" si="4"/>
        <v>527796.875</v>
      </c>
      <c r="G45" s="59">
        <f t="shared" ca="1" si="5"/>
        <v>550015.625</v>
      </c>
      <c r="H45" s="114">
        <f t="shared" ca="1" si="6"/>
        <v>1077812.5</v>
      </c>
      <c r="J45" s="150"/>
      <c r="M45" s="6">
        <v>8</v>
      </c>
      <c r="N45" s="6">
        <f t="shared" si="16"/>
        <v>16000</v>
      </c>
      <c r="O45" s="12">
        <f t="shared" si="17"/>
        <v>3.125E-2</v>
      </c>
      <c r="P45" s="6" t="e">
        <f t="shared" si="18"/>
        <v>#VALUE!</v>
      </c>
      <c r="Q45" s="22" t="e">
        <f t="shared" si="19"/>
        <v>#VALUE!</v>
      </c>
      <c r="R45" s="23" t="e">
        <f t="shared" si="20"/>
        <v>#VALUE!</v>
      </c>
      <c r="S45" s="23" t="e">
        <f t="shared" si="21"/>
        <v>#VALUE!</v>
      </c>
      <c r="T45" s="22">
        <f t="shared" si="22"/>
        <v>70000</v>
      </c>
      <c r="U45" s="22" t="e">
        <f t="shared" si="23"/>
        <v>#VALUE!</v>
      </c>
      <c r="V45" s="22" t="e">
        <f t="shared" si="24"/>
        <v>#VALUE!</v>
      </c>
    </row>
    <row r="46" spans="1:22" x14ac:dyDescent="0.3">
      <c r="A46" s="113">
        <v>158</v>
      </c>
      <c r="B46" s="57">
        <f t="shared" si="0"/>
        <v>78.2</v>
      </c>
      <c r="C46" s="57">
        <f t="shared" si="1"/>
        <v>98</v>
      </c>
      <c r="D46" s="58">
        <f t="shared" si="2"/>
        <v>0.44381384790011358</v>
      </c>
      <c r="E46" s="106">
        <f t="shared" ca="1" si="3"/>
        <v>12000</v>
      </c>
      <c r="F46" s="59">
        <f t="shared" ca="1" si="4"/>
        <v>515796.875</v>
      </c>
      <c r="G46" s="59">
        <f t="shared" ca="1" si="5"/>
        <v>562015.625</v>
      </c>
      <c r="H46" s="114">
        <f t="shared" ca="1" si="6"/>
        <v>1077812.5</v>
      </c>
      <c r="J46" s="150"/>
      <c r="M46" s="6">
        <v>9</v>
      </c>
      <c r="N46" s="6">
        <f t="shared" si="16"/>
        <v>17000</v>
      </c>
      <c r="O46" s="12">
        <f t="shared" si="17"/>
        <v>6.25E-2</v>
      </c>
      <c r="P46" s="6" t="e">
        <f t="shared" si="18"/>
        <v>#VALUE!</v>
      </c>
      <c r="Q46" s="22" t="e">
        <f t="shared" si="19"/>
        <v>#VALUE!</v>
      </c>
      <c r="R46" s="23" t="e">
        <f t="shared" si="20"/>
        <v>#VALUE!</v>
      </c>
      <c r="S46" s="23" t="e">
        <f t="shared" si="21"/>
        <v>#VALUE!</v>
      </c>
      <c r="T46" s="22">
        <f t="shared" si="22"/>
        <v>70000</v>
      </c>
      <c r="U46" s="22" t="e">
        <f t="shared" si="23"/>
        <v>#VALUE!</v>
      </c>
      <c r="V46" s="22" t="e">
        <f t="shared" si="24"/>
        <v>#VALUE!</v>
      </c>
    </row>
    <row r="47" spans="1:22" x14ac:dyDescent="0.3">
      <c r="A47" s="113">
        <v>159</v>
      </c>
      <c r="B47" s="57">
        <f t="shared" si="0"/>
        <v>77.349999999999994</v>
      </c>
      <c r="C47" s="57">
        <f t="shared" si="1"/>
        <v>99</v>
      </c>
      <c r="D47" s="58">
        <f t="shared" si="2"/>
        <v>0.43861638786504109</v>
      </c>
      <c r="E47" s="106">
        <f t="shared" ca="1" si="3"/>
        <v>12000</v>
      </c>
      <c r="F47" s="59">
        <f t="shared" ca="1" si="4"/>
        <v>503796.875</v>
      </c>
      <c r="G47" s="59">
        <f t="shared" ca="1" si="5"/>
        <v>574015.625</v>
      </c>
      <c r="H47" s="114">
        <f t="shared" ca="1" si="6"/>
        <v>1077812.5</v>
      </c>
      <c r="J47" s="150"/>
      <c r="M47" s="6">
        <v>10</v>
      </c>
      <c r="N47" s="6">
        <f t="shared" si="16"/>
        <v>18000</v>
      </c>
      <c r="O47" s="12">
        <f t="shared" si="17"/>
        <v>0.15625</v>
      </c>
      <c r="P47" s="6" t="e">
        <f t="shared" si="18"/>
        <v>#VALUE!</v>
      </c>
      <c r="Q47" s="22" t="e">
        <f t="shared" si="19"/>
        <v>#VALUE!</v>
      </c>
      <c r="R47" s="23" t="e">
        <f t="shared" si="20"/>
        <v>#VALUE!</v>
      </c>
      <c r="S47" s="23" t="e">
        <f t="shared" si="21"/>
        <v>#VALUE!</v>
      </c>
      <c r="T47" s="22">
        <f t="shared" si="22"/>
        <v>70000</v>
      </c>
      <c r="U47" s="22" t="e">
        <f t="shared" si="23"/>
        <v>#VALUE!</v>
      </c>
      <c r="V47" s="22" t="e">
        <f t="shared" si="24"/>
        <v>#VALUE!</v>
      </c>
    </row>
    <row r="48" spans="1:22" x14ac:dyDescent="0.3">
      <c r="A48" s="113">
        <v>160</v>
      </c>
      <c r="B48" s="57">
        <f t="shared" si="0"/>
        <v>76.5</v>
      </c>
      <c r="C48" s="57">
        <f t="shared" si="1"/>
        <v>100</v>
      </c>
      <c r="D48" s="58">
        <f t="shared" si="2"/>
        <v>0.43342776203966005</v>
      </c>
      <c r="E48" s="106">
        <f t="shared" ca="1" si="3"/>
        <v>12000</v>
      </c>
      <c r="F48" s="59">
        <f t="shared" ca="1" si="4"/>
        <v>491796.875</v>
      </c>
      <c r="G48" s="59">
        <f t="shared" ca="1" si="5"/>
        <v>586015.625</v>
      </c>
      <c r="H48" s="114">
        <f t="shared" ca="1" si="6"/>
        <v>1077812.5</v>
      </c>
      <c r="J48" s="150"/>
      <c r="M48" s="6">
        <v>11</v>
      </c>
      <c r="N48" s="6">
        <f t="shared" si="16"/>
        <v>19000</v>
      </c>
      <c r="O48" s="12">
        <f t="shared" si="17"/>
        <v>0.15625</v>
      </c>
      <c r="P48" s="6" t="e">
        <f t="shared" si="18"/>
        <v>#VALUE!</v>
      </c>
      <c r="Q48" s="22" t="e">
        <f t="shared" si="19"/>
        <v>#VALUE!</v>
      </c>
      <c r="R48" s="23" t="e">
        <f t="shared" si="20"/>
        <v>#VALUE!</v>
      </c>
      <c r="S48" s="23" t="e">
        <f t="shared" si="21"/>
        <v>#VALUE!</v>
      </c>
      <c r="T48" s="22">
        <f t="shared" si="22"/>
        <v>70000</v>
      </c>
      <c r="U48" s="22" t="e">
        <f t="shared" si="23"/>
        <v>#VALUE!</v>
      </c>
      <c r="V48" s="22" t="e">
        <f t="shared" si="24"/>
        <v>#VALUE!</v>
      </c>
    </row>
    <row r="49" spans="1:22" x14ac:dyDescent="0.3">
      <c r="A49" s="113">
        <v>161</v>
      </c>
      <c r="B49" s="57">
        <f t="shared" si="0"/>
        <v>75.649999999999991</v>
      </c>
      <c r="C49" s="57">
        <f t="shared" si="1"/>
        <v>101</v>
      </c>
      <c r="D49" s="58">
        <f t="shared" si="2"/>
        <v>0.42824794791961507</v>
      </c>
      <c r="E49" s="106">
        <f t="shared" ca="1" si="3"/>
        <v>12000</v>
      </c>
      <c r="F49" s="59">
        <f t="shared" ca="1" si="4"/>
        <v>479796.875</v>
      </c>
      <c r="G49" s="59">
        <f t="shared" ca="1" si="5"/>
        <v>598015.625</v>
      </c>
      <c r="H49" s="114">
        <f t="shared" ca="1" si="6"/>
        <v>1077812.5</v>
      </c>
      <c r="J49" s="150"/>
      <c r="M49" s="135" t="s">
        <v>41</v>
      </c>
      <c r="N49" s="136"/>
      <c r="O49" s="136"/>
      <c r="P49" s="136"/>
      <c r="Q49" s="136"/>
      <c r="R49" s="136"/>
      <c r="S49" s="136"/>
      <c r="T49" s="137"/>
      <c r="U49" s="146" t="e">
        <f>SUM(V38:V48)</f>
        <v>#VALUE!</v>
      </c>
      <c r="V49" s="147"/>
    </row>
    <row r="50" spans="1:22" ht="17.25" thickBot="1" x14ac:dyDescent="0.35">
      <c r="A50" s="119">
        <v>162</v>
      </c>
      <c r="B50" s="115">
        <f t="shared" si="0"/>
        <v>74.8</v>
      </c>
      <c r="C50" s="115">
        <f t="shared" si="1"/>
        <v>102</v>
      </c>
      <c r="D50" s="120">
        <f t="shared" si="2"/>
        <v>0.42307692307692302</v>
      </c>
      <c r="E50" s="116">
        <f t="shared" ca="1" si="3"/>
        <v>12000</v>
      </c>
      <c r="F50" s="121">
        <f t="shared" ca="1" si="4"/>
        <v>467796.875</v>
      </c>
      <c r="G50" s="121">
        <f t="shared" ca="1" si="5"/>
        <v>610015.625</v>
      </c>
      <c r="H50" s="122">
        <f t="shared" ca="1" si="6"/>
        <v>1077812.5</v>
      </c>
      <c r="J50" s="151"/>
    </row>
    <row r="51" spans="1:22" x14ac:dyDescent="0.3">
      <c r="A51" s="91">
        <v>163</v>
      </c>
      <c r="B51" s="92">
        <f t="shared" si="0"/>
        <v>73.95</v>
      </c>
      <c r="C51" s="92">
        <f t="shared" si="1"/>
        <v>103</v>
      </c>
      <c r="D51" s="93">
        <f t="shared" si="2"/>
        <v>0.41791466515964965</v>
      </c>
      <c r="E51" s="118">
        <f t="shared" ca="1" si="3"/>
        <v>12000</v>
      </c>
      <c r="F51" s="71">
        <f t="shared" ca="1" si="4"/>
        <v>455796.875</v>
      </c>
      <c r="G51" s="71">
        <f t="shared" ca="1" si="5"/>
        <v>622015.625</v>
      </c>
      <c r="H51" s="73">
        <f t="shared" ca="1" si="6"/>
        <v>1077812.5</v>
      </c>
      <c r="J51" s="51"/>
    </row>
    <row r="52" spans="1:22" x14ac:dyDescent="0.3">
      <c r="A52" s="23">
        <v>164</v>
      </c>
      <c r="B52" s="22">
        <f t="shared" si="0"/>
        <v>73.099999999999994</v>
      </c>
      <c r="C52" s="22">
        <f t="shared" si="1"/>
        <v>104</v>
      </c>
      <c r="D52" s="12">
        <f t="shared" si="2"/>
        <v>0.41276115189158663</v>
      </c>
      <c r="E52" s="6">
        <f t="shared" ca="1" si="3"/>
        <v>12000</v>
      </c>
      <c r="F52" s="52">
        <f t="shared" ca="1" si="4"/>
        <v>443796.875</v>
      </c>
      <c r="G52" s="52">
        <f t="shared" ca="1" si="5"/>
        <v>634015.625</v>
      </c>
      <c r="H52" s="53">
        <f t="shared" ca="1" si="6"/>
        <v>1077812.5</v>
      </c>
    </row>
    <row r="53" spans="1:22" x14ac:dyDescent="0.3">
      <c r="A53" s="23">
        <v>165</v>
      </c>
      <c r="B53" s="22">
        <f t="shared" si="0"/>
        <v>72.25</v>
      </c>
      <c r="C53" s="22">
        <f t="shared" si="1"/>
        <v>105</v>
      </c>
      <c r="D53" s="12">
        <f t="shared" si="2"/>
        <v>0.40761636107193228</v>
      </c>
      <c r="E53" s="6">
        <f t="shared" ca="1" si="3"/>
        <v>12000</v>
      </c>
      <c r="F53" s="52">
        <f t="shared" ca="1" si="4"/>
        <v>431796.875</v>
      </c>
      <c r="G53" s="52">
        <f t="shared" ca="1" si="5"/>
        <v>646015.625</v>
      </c>
      <c r="H53" s="53">
        <f t="shared" ca="1" si="6"/>
        <v>1077812.5</v>
      </c>
    </row>
    <row r="54" spans="1:22" x14ac:dyDescent="0.3">
      <c r="A54" s="23">
        <v>166</v>
      </c>
      <c r="B54" s="22">
        <f t="shared" si="0"/>
        <v>71.399999999999991</v>
      </c>
      <c r="C54" s="22">
        <f t="shared" si="1"/>
        <v>106</v>
      </c>
      <c r="D54" s="12">
        <f t="shared" si="2"/>
        <v>0.40248027057497182</v>
      </c>
      <c r="E54" s="6">
        <f t="shared" ca="1" si="3"/>
        <v>12000</v>
      </c>
      <c r="F54" s="52">
        <f t="shared" ca="1" si="4"/>
        <v>419796.875</v>
      </c>
      <c r="G54" s="52">
        <f t="shared" ca="1" si="5"/>
        <v>658015.625</v>
      </c>
      <c r="H54" s="53">
        <f t="shared" ca="1" si="6"/>
        <v>1077812.5</v>
      </c>
    </row>
    <row r="55" spans="1:22" ht="16.5" customHeight="1" x14ac:dyDescent="0.3">
      <c r="A55" s="23">
        <v>167</v>
      </c>
      <c r="B55" s="22">
        <f t="shared" si="0"/>
        <v>70.55</v>
      </c>
      <c r="C55" s="22">
        <f t="shared" si="1"/>
        <v>107</v>
      </c>
      <c r="D55" s="12">
        <f t="shared" si="2"/>
        <v>0.39735285834976058</v>
      </c>
      <c r="E55" s="6">
        <f t="shared" ca="1" si="3"/>
        <v>12000</v>
      </c>
      <c r="F55" s="52">
        <f t="shared" ca="1" si="4"/>
        <v>407796.875</v>
      </c>
      <c r="G55" s="52">
        <f t="shared" ca="1" si="5"/>
        <v>670015.625</v>
      </c>
      <c r="H55" s="53">
        <f t="shared" ca="1" si="6"/>
        <v>1077812.5</v>
      </c>
      <c r="M55" s="51"/>
    </row>
    <row r="56" spans="1:22" x14ac:dyDescent="0.3">
      <c r="A56" s="23">
        <v>168</v>
      </c>
      <c r="B56" s="22">
        <f t="shared" si="0"/>
        <v>69.7</v>
      </c>
      <c r="C56" s="22">
        <f t="shared" si="1"/>
        <v>108</v>
      </c>
      <c r="D56" s="12">
        <f t="shared" si="2"/>
        <v>0.39223410241980872</v>
      </c>
      <c r="E56" s="6">
        <f t="shared" ca="1" si="3"/>
        <v>12000</v>
      </c>
      <c r="F56" s="52">
        <f t="shared" ca="1" si="4"/>
        <v>395796.875</v>
      </c>
      <c r="G56" s="52">
        <f t="shared" ca="1" si="5"/>
        <v>682015.625</v>
      </c>
      <c r="H56" s="53">
        <f t="shared" ca="1" si="6"/>
        <v>1077812.5</v>
      </c>
      <c r="M56" s="51"/>
    </row>
    <row r="57" spans="1:22" ht="16.5" customHeight="1" x14ac:dyDescent="0.3">
      <c r="A57" s="23">
        <v>169</v>
      </c>
      <c r="B57" s="22">
        <f t="shared" si="0"/>
        <v>68.849999999999994</v>
      </c>
      <c r="C57" s="22">
        <f t="shared" si="1"/>
        <v>109</v>
      </c>
      <c r="D57" s="12">
        <f t="shared" si="2"/>
        <v>0.38712398088276634</v>
      </c>
      <c r="E57" s="6">
        <f t="shared" ca="1" si="3"/>
        <v>12000</v>
      </c>
      <c r="F57" s="52">
        <f t="shared" ca="1" si="4"/>
        <v>383796.875</v>
      </c>
      <c r="G57" s="52">
        <f t="shared" ca="1" si="5"/>
        <v>694015.625</v>
      </c>
      <c r="H57" s="53">
        <f t="shared" ca="1" si="6"/>
        <v>1077812.5</v>
      </c>
      <c r="M57" s="51"/>
    </row>
    <row r="58" spans="1:22" x14ac:dyDescent="0.3">
      <c r="A58" s="23">
        <v>170</v>
      </c>
      <c r="B58" s="22">
        <f t="shared" si="0"/>
        <v>68</v>
      </c>
      <c r="C58" s="22">
        <f t="shared" si="1"/>
        <v>110</v>
      </c>
      <c r="D58" s="12">
        <f t="shared" si="2"/>
        <v>0.38202247191011235</v>
      </c>
      <c r="E58" s="6">
        <f t="shared" ca="1" si="3"/>
        <v>12000</v>
      </c>
      <c r="F58" s="52">
        <f t="shared" ca="1" si="4"/>
        <v>371796.875</v>
      </c>
      <c r="G58" s="52">
        <f t="shared" ca="1" si="5"/>
        <v>706015.625</v>
      </c>
      <c r="H58" s="53">
        <f t="shared" ca="1" si="6"/>
        <v>1077812.5</v>
      </c>
      <c r="M58" s="51"/>
    </row>
    <row r="59" spans="1:22" x14ac:dyDescent="0.3">
      <c r="A59" s="23">
        <v>171</v>
      </c>
      <c r="B59" s="22">
        <f t="shared" si="0"/>
        <v>67.149999999999991</v>
      </c>
      <c r="C59" s="22">
        <f t="shared" si="1"/>
        <v>111</v>
      </c>
      <c r="D59" s="12">
        <f t="shared" si="2"/>
        <v>0.37692955374684256</v>
      </c>
      <c r="E59" s="6">
        <f t="shared" ca="1" si="3"/>
        <v>12000</v>
      </c>
      <c r="F59" s="52">
        <f t="shared" ca="1" si="4"/>
        <v>359796.875</v>
      </c>
      <c r="G59" s="52">
        <f t="shared" ca="1" si="5"/>
        <v>718015.625</v>
      </c>
      <c r="H59" s="53">
        <f t="shared" ca="1" si="6"/>
        <v>1077812.5</v>
      </c>
      <c r="M59" s="51"/>
    </row>
    <row r="60" spans="1:22" x14ac:dyDescent="0.3">
      <c r="A60" s="23">
        <v>172</v>
      </c>
      <c r="B60" s="22">
        <f t="shared" si="0"/>
        <v>66.3</v>
      </c>
      <c r="C60" s="22">
        <f t="shared" si="1"/>
        <v>112</v>
      </c>
      <c r="D60" s="12">
        <f t="shared" si="2"/>
        <v>0.37184520471116095</v>
      </c>
      <c r="E60" s="6">
        <f t="shared" ca="1" si="3"/>
        <v>11000</v>
      </c>
      <c r="F60" s="52">
        <f t="shared" ca="1" si="4"/>
        <v>364484.375</v>
      </c>
      <c r="G60" s="52">
        <f t="shared" ca="1" si="5"/>
        <v>674578.125</v>
      </c>
      <c r="H60" s="53">
        <f t="shared" ca="1" si="6"/>
        <v>1039062.5</v>
      </c>
      <c r="M60" s="51"/>
    </row>
    <row r="61" spans="1:22" x14ac:dyDescent="0.3">
      <c r="A61" s="23">
        <v>173</v>
      </c>
      <c r="B61" s="22">
        <f t="shared" si="0"/>
        <v>65.45</v>
      </c>
      <c r="C61" s="22">
        <f t="shared" si="1"/>
        <v>113</v>
      </c>
      <c r="D61" s="12">
        <f t="shared" si="2"/>
        <v>0.36676940319417206</v>
      </c>
      <c r="E61" s="6">
        <f t="shared" ca="1" si="3"/>
        <v>11000</v>
      </c>
      <c r="F61" s="52">
        <f t="shared" ca="1" si="4"/>
        <v>353484.375</v>
      </c>
      <c r="G61" s="52">
        <f t="shared" ca="1" si="5"/>
        <v>685578.125</v>
      </c>
      <c r="H61" s="53">
        <f t="shared" ca="1" si="6"/>
        <v>1039062.5</v>
      </c>
      <c r="M61" s="51"/>
    </row>
    <row r="62" spans="1:22" x14ac:dyDescent="0.3">
      <c r="A62" s="23">
        <v>174</v>
      </c>
      <c r="B62" s="22">
        <f t="shared" si="0"/>
        <v>64.599999999999994</v>
      </c>
      <c r="C62" s="22">
        <f t="shared" si="1"/>
        <v>114</v>
      </c>
      <c r="D62" s="12">
        <f t="shared" si="2"/>
        <v>0.36170212765957444</v>
      </c>
      <c r="E62" s="6">
        <f t="shared" ca="1" si="3"/>
        <v>11000</v>
      </c>
      <c r="F62" s="52">
        <f t="shared" ca="1" si="4"/>
        <v>342484.375</v>
      </c>
      <c r="G62" s="52">
        <f t="shared" ca="1" si="5"/>
        <v>696578.125</v>
      </c>
      <c r="H62" s="53">
        <f t="shared" ca="1" si="6"/>
        <v>1039062.5</v>
      </c>
      <c r="M62" s="51"/>
    </row>
    <row r="63" spans="1:22" x14ac:dyDescent="0.3">
      <c r="A63" s="23">
        <v>175</v>
      </c>
      <c r="B63" s="22">
        <f t="shared" si="0"/>
        <v>63.75</v>
      </c>
      <c r="C63" s="22">
        <f t="shared" si="1"/>
        <v>115</v>
      </c>
      <c r="D63" s="12">
        <f t="shared" si="2"/>
        <v>0.35664335664335667</v>
      </c>
      <c r="E63" s="6">
        <f t="shared" ca="1" si="3"/>
        <v>11000</v>
      </c>
      <c r="F63" s="52">
        <f t="shared" ca="1" si="4"/>
        <v>331484.375</v>
      </c>
      <c r="G63" s="52">
        <f t="shared" ca="1" si="5"/>
        <v>707578.125</v>
      </c>
      <c r="H63" s="53">
        <f t="shared" ca="1" si="6"/>
        <v>1039062.5</v>
      </c>
      <c r="M63" s="51"/>
    </row>
    <row r="64" spans="1:22" x14ac:dyDescent="0.3">
      <c r="A64" s="23">
        <v>176</v>
      </c>
      <c r="B64" s="22">
        <f t="shared" si="0"/>
        <v>62.9</v>
      </c>
      <c r="C64" s="22">
        <f t="shared" si="1"/>
        <v>116</v>
      </c>
      <c r="D64" s="12">
        <f t="shared" si="2"/>
        <v>0.35159306875349355</v>
      </c>
      <c r="E64" s="6">
        <f t="shared" ca="1" si="3"/>
        <v>11000</v>
      </c>
      <c r="F64" s="52">
        <f t="shared" ca="1" si="4"/>
        <v>320484.375</v>
      </c>
      <c r="G64" s="52">
        <f t="shared" ca="1" si="5"/>
        <v>718578.125</v>
      </c>
      <c r="H64" s="53">
        <f t="shared" ca="1" si="6"/>
        <v>1039062.5</v>
      </c>
      <c r="M64" s="51"/>
    </row>
    <row r="65" spans="1:13" x14ac:dyDescent="0.3">
      <c r="A65" s="23">
        <v>177</v>
      </c>
      <c r="B65" s="22">
        <f t="shared" si="0"/>
        <v>62.05</v>
      </c>
      <c r="C65" s="22">
        <f t="shared" si="1"/>
        <v>117</v>
      </c>
      <c r="D65" s="12">
        <f t="shared" si="2"/>
        <v>0.34655124266964532</v>
      </c>
      <c r="E65" s="6">
        <f t="shared" ca="1" si="3"/>
        <v>11000</v>
      </c>
      <c r="F65" s="52">
        <f t="shared" ca="1" si="4"/>
        <v>309484.375</v>
      </c>
      <c r="G65" s="52">
        <f t="shared" ca="1" si="5"/>
        <v>729578.125</v>
      </c>
      <c r="H65" s="53">
        <f t="shared" ca="1" si="6"/>
        <v>1039062.5</v>
      </c>
      <c r="M65" s="51"/>
    </row>
    <row r="66" spans="1:13" x14ac:dyDescent="0.3">
      <c r="A66" s="23">
        <v>178</v>
      </c>
      <c r="B66" s="22">
        <f t="shared" si="0"/>
        <v>61.199999999999996</v>
      </c>
      <c r="C66" s="22">
        <f t="shared" si="1"/>
        <v>118</v>
      </c>
      <c r="D66" s="12">
        <f t="shared" si="2"/>
        <v>0.34151785714285715</v>
      </c>
      <c r="E66" s="6">
        <f t="shared" ca="1" si="3"/>
        <v>11000</v>
      </c>
      <c r="F66" s="52">
        <f t="shared" ca="1" si="4"/>
        <v>298484.375</v>
      </c>
      <c r="G66" s="52">
        <f t="shared" ca="1" si="5"/>
        <v>740578.125</v>
      </c>
      <c r="H66" s="53">
        <f t="shared" ca="1" si="6"/>
        <v>1039062.5</v>
      </c>
    </row>
    <row r="67" spans="1:13" x14ac:dyDescent="0.3">
      <c r="A67" s="23">
        <v>179</v>
      </c>
      <c r="B67" s="22">
        <f t="shared" si="0"/>
        <v>60.35</v>
      </c>
      <c r="C67" s="22">
        <f t="shared" si="1"/>
        <v>119</v>
      </c>
      <c r="D67" s="12">
        <f t="shared" si="2"/>
        <v>0.3364928909952607</v>
      </c>
      <c r="E67" s="6">
        <f t="shared" ca="1" si="3"/>
        <v>11000</v>
      </c>
      <c r="F67" s="52">
        <f t="shared" ca="1" si="4"/>
        <v>287484.375</v>
      </c>
      <c r="G67" s="52">
        <f t="shared" ca="1" si="5"/>
        <v>751578.125</v>
      </c>
      <c r="H67" s="53">
        <f t="shared" ca="1" si="6"/>
        <v>1039062.5</v>
      </c>
    </row>
    <row r="68" spans="1:13" x14ac:dyDescent="0.3">
      <c r="A68" s="23">
        <v>180</v>
      </c>
      <c r="B68" s="22">
        <f t="shared" si="0"/>
        <v>59.5</v>
      </c>
      <c r="C68" s="22">
        <f t="shared" si="1"/>
        <v>120</v>
      </c>
      <c r="D68" s="12">
        <f t="shared" si="2"/>
        <v>0.33147632311977715</v>
      </c>
      <c r="E68" s="6">
        <f t="shared" ca="1" si="3"/>
        <v>11000</v>
      </c>
      <c r="F68" s="52">
        <f t="shared" ca="1" si="4"/>
        <v>276484.375</v>
      </c>
      <c r="G68" s="52">
        <f t="shared" ca="1" si="5"/>
        <v>762578.125</v>
      </c>
      <c r="H68" s="53">
        <f t="shared" ca="1" si="6"/>
        <v>1039062.5</v>
      </c>
    </row>
    <row r="69" spans="1:13" x14ac:dyDescent="0.3">
      <c r="A69" s="23">
        <v>181</v>
      </c>
      <c r="B69" s="22">
        <f t="shared" si="0"/>
        <v>58.65</v>
      </c>
      <c r="C69" s="22">
        <f t="shared" si="1"/>
        <v>121</v>
      </c>
      <c r="D69" s="12">
        <f t="shared" si="2"/>
        <v>0.32646813247982187</v>
      </c>
      <c r="E69" s="6">
        <f t="shared" ca="1" si="3"/>
        <v>11000</v>
      </c>
      <c r="F69" s="52">
        <f t="shared" ca="1" si="4"/>
        <v>265484.375</v>
      </c>
      <c r="G69" s="52">
        <f t="shared" ca="1" si="5"/>
        <v>773578.125</v>
      </c>
      <c r="H69" s="53">
        <f t="shared" ca="1" si="6"/>
        <v>1039062.5</v>
      </c>
    </row>
    <row r="70" spans="1:13" x14ac:dyDescent="0.3">
      <c r="A70" s="23">
        <v>182</v>
      </c>
      <c r="B70" s="22">
        <f t="shared" si="0"/>
        <v>57.8</v>
      </c>
      <c r="C70" s="22">
        <f t="shared" si="1"/>
        <v>122</v>
      </c>
      <c r="D70" s="12">
        <f t="shared" si="2"/>
        <v>0.32146829810900995</v>
      </c>
      <c r="E70" s="6">
        <f t="shared" ca="1" si="3"/>
        <v>11000</v>
      </c>
      <c r="F70" s="52">
        <f t="shared" ca="1" si="4"/>
        <v>254484.375</v>
      </c>
      <c r="G70" s="52">
        <f t="shared" ca="1" si="5"/>
        <v>784578.125</v>
      </c>
      <c r="H70" s="53">
        <f t="shared" ca="1" si="6"/>
        <v>1039062.5</v>
      </c>
    </row>
    <row r="71" spans="1:13" x14ac:dyDescent="0.3">
      <c r="A71" s="23">
        <v>183</v>
      </c>
      <c r="B71" s="22">
        <f t="shared" si="0"/>
        <v>56.949999999999996</v>
      </c>
      <c r="C71" s="22">
        <f t="shared" si="1"/>
        <v>123</v>
      </c>
      <c r="D71" s="12">
        <f t="shared" si="2"/>
        <v>0.31647679911086413</v>
      </c>
      <c r="E71" s="6">
        <f t="shared" ca="1" si="3"/>
        <v>11000</v>
      </c>
      <c r="F71" s="52">
        <f t="shared" ca="1" si="4"/>
        <v>243484.375</v>
      </c>
      <c r="G71" s="52">
        <f t="shared" ca="1" si="5"/>
        <v>795578.125</v>
      </c>
      <c r="H71" s="53">
        <f t="shared" ca="1" si="6"/>
        <v>1039062.5</v>
      </c>
    </row>
    <row r="72" spans="1:13" x14ac:dyDescent="0.3">
      <c r="A72" s="23">
        <v>184</v>
      </c>
      <c r="B72" s="22">
        <f t="shared" si="0"/>
        <v>56.1</v>
      </c>
      <c r="C72" s="22">
        <f t="shared" si="1"/>
        <v>124</v>
      </c>
      <c r="D72" s="12">
        <f t="shared" si="2"/>
        <v>0.31149361465852304</v>
      </c>
      <c r="E72" s="6">
        <f t="shared" ca="1" si="3"/>
        <v>11000</v>
      </c>
      <c r="F72" s="52">
        <f t="shared" ca="1" si="4"/>
        <v>232484.375</v>
      </c>
      <c r="G72" s="52">
        <f t="shared" ca="1" si="5"/>
        <v>806578.125</v>
      </c>
      <c r="H72" s="53">
        <f t="shared" ca="1" si="6"/>
        <v>1039062.5</v>
      </c>
    </row>
    <row r="73" spans="1:13" x14ac:dyDescent="0.3">
      <c r="A73" s="23">
        <v>185</v>
      </c>
      <c r="B73" s="22">
        <f t="shared" si="0"/>
        <v>55.25</v>
      </c>
      <c r="C73" s="22">
        <f t="shared" si="1"/>
        <v>125</v>
      </c>
      <c r="D73" s="12">
        <f t="shared" si="2"/>
        <v>0.30651872399445212</v>
      </c>
      <c r="E73" s="6">
        <f t="shared" ca="1" si="3"/>
        <v>11000</v>
      </c>
      <c r="F73" s="52">
        <f t="shared" ca="1" si="4"/>
        <v>221484.375</v>
      </c>
      <c r="G73" s="52">
        <f t="shared" ca="1" si="5"/>
        <v>817578.125</v>
      </c>
      <c r="H73" s="53">
        <f t="shared" ca="1" si="6"/>
        <v>1039062.5</v>
      </c>
    </row>
    <row r="74" spans="1:13" x14ac:dyDescent="0.3">
      <c r="A74" s="23">
        <v>186</v>
      </c>
      <c r="B74" s="22">
        <f t="shared" ref="B74:B87" si="25">($E$2 - A74)*(100%-$B$6)</f>
        <v>54.4</v>
      </c>
      <c r="C74" s="22">
        <f t="shared" ref="C74:C87" si="26">A74-$E$3</f>
        <v>126</v>
      </c>
      <c r="D74" s="12">
        <f t="shared" ref="D74:D87" si="27">B74 / (B74+C74)</f>
        <v>0.30155210643015518</v>
      </c>
      <c r="E74" s="6">
        <f t="shared" ref="E74:E87" ca="1" si="28">OptimalOrderQuantity(D74)</f>
        <v>11000</v>
      </c>
      <c r="F74" s="52">
        <f t="shared" ref="F74:F87" ca="1" si="29">SkiRetailProf_RS(E74,$B$6,A74)</f>
        <v>210484.375</v>
      </c>
      <c r="G74" s="52">
        <f t="shared" ref="G74:G87" ca="1" si="30">Skiekz_RS(E74, $B$6, A74)</f>
        <v>828578.125</v>
      </c>
      <c r="H74" s="53">
        <f t="shared" ref="H74:H87" ca="1" si="31">SUM(F74:G74)</f>
        <v>1039062.5</v>
      </c>
    </row>
    <row r="75" spans="1:13" x14ac:dyDescent="0.3">
      <c r="A75" s="23">
        <v>187</v>
      </c>
      <c r="B75" s="22">
        <f t="shared" si="25"/>
        <v>53.55</v>
      </c>
      <c r="C75" s="22">
        <f t="shared" si="26"/>
        <v>127</v>
      </c>
      <c r="D75" s="12">
        <f t="shared" si="27"/>
        <v>0.29659374134588751</v>
      </c>
      <c r="E75" s="6">
        <f t="shared" ca="1" si="28"/>
        <v>11000</v>
      </c>
      <c r="F75" s="52">
        <f t="shared" ca="1" si="29"/>
        <v>199484.375</v>
      </c>
      <c r="G75" s="52">
        <f t="shared" ca="1" si="30"/>
        <v>839578.125</v>
      </c>
      <c r="H75" s="53">
        <f t="shared" ca="1" si="31"/>
        <v>1039062.5</v>
      </c>
    </row>
    <row r="76" spans="1:13" x14ac:dyDescent="0.3">
      <c r="A76" s="23">
        <v>188</v>
      </c>
      <c r="B76" s="22">
        <f t="shared" si="25"/>
        <v>52.699999999999996</v>
      </c>
      <c r="C76" s="22">
        <f t="shared" si="26"/>
        <v>128</v>
      </c>
      <c r="D76" s="12">
        <f t="shared" si="27"/>
        <v>0.29164360819037077</v>
      </c>
      <c r="E76" s="6">
        <f t="shared" ca="1" si="28"/>
        <v>11000</v>
      </c>
      <c r="F76" s="52">
        <f t="shared" ca="1" si="29"/>
        <v>188484.375</v>
      </c>
      <c r="G76" s="52">
        <f t="shared" ca="1" si="30"/>
        <v>850578.125</v>
      </c>
      <c r="H76" s="53">
        <f t="shared" ca="1" si="31"/>
        <v>1039062.5</v>
      </c>
    </row>
    <row r="77" spans="1:13" x14ac:dyDescent="0.3">
      <c r="A77" s="23">
        <v>189</v>
      </c>
      <c r="B77" s="22">
        <f t="shared" si="25"/>
        <v>51.85</v>
      </c>
      <c r="C77" s="22">
        <f t="shared" si="26"/>
        <v>129</v>
      </c>
      <c r="D77" s="12">
        <f t="shared" si="27"/>
        <v>0.2867016864805087</v>
      </c>
      <c r="E77" s="6">
        <f t="shared" ca="1" si="28"/>
        <v>11000</v>
      </c>
      <c r="F77" s="52">
        <f t="shared" ca="1" si="29"/>
        <v>177484.375</v>
      </c>
      <c r="G77" s="52">
        <f t="shared" ca="1" si="30"/>
        <v>861578.125</v>
      </c>
      <c r="H77" s="53">
        <f t="shared" ca="1" si="31"/>
        <v>1039062.5</v>
      </c>
    </row>
    <row r="78" spans="1:13" x14ac:dyDescent="0.3">
      <c r="A78" s="23">
        <v>190</v>
      </c>
      <c r="B78" s="22">
        <f t="shared" si="25"/>
        <v>51</v>
      </c>
      <c r="C78" s="22">
        <f t="shared" si="26"/>
        <v>130</v>
      </c>
      <c r="D78" s="12">
        <f t="shared" si="27"/>
        <v>0.28176795580110497</v>
      </c>
      <c r="E78" s="6">
        <f t="shared" ca="1" si="28"/>
        <v>11000</v>
      </c>
      <c r="F78" s="52">
        <f t="shared" ca="1" si="29"/>
        <v>166484.375</v>
      </c>
      <c r="G78" s="52">
        <f t="shared" ca="1" si="30"/>
        <v>872578.125</v>
      </c>
      <c r="H78" s="53">
        <f t="shared" ca="1" si="31"/>
        <v>1039062.5</v>
      </c>
    </row>
    <row r="79" spans="1:13" x14ac:dyDescent="0.3">
      <c r="A79" s="23">
        <v>191</v>
      </c>
      <c r="B79" s="22">
        <f t="shared" si="25"/>
        <v>50.15</v>
      </c>
      <c r="C79" s="22">
        <f t="shared" si="26"/>
        <v>131</v>
      </c>
      <c r="D79" s="12">
        <f t="shared" si="27"/>
        <v>0.27684239580458181</v>
      </c>
      <c r="E79" s="6">
        <f t="shared" ca="1" si="28"/>
        <v>10000</v>
      </c>
      <c r="F79" s="52">
        <f t="shared" ca="1" si="29"/>
        <v>176875</v>
      </c>
      <c r="G79" s="52">
        <f t="shared" ca="1" si="30"/>
        <v>805625</v>
      </c>
      <c r="H79" s="53">
        <f t="shared" ca="1" si="31"/>
        <v>982500</v>
      </c>
    </row>
    <row r="80" spans="1:13" x14ac:dyDescent="0.3">
      <c r="A80" s="23">
        <v>192</v>
      </c>
      <c r="B80" s="22">
        <f t="shared" si="25"/>
        <v>49.3</v>
      </c>
      <c r="C80" s="22">
        <f t="shared" si="26"/>
        <v>132</v>
      </c>
      <c r="D80" s="12">
        <f t="shared" si="27"/>
        <v>0.27192498621070044</v>
      </c>
      <c r="E80" s="6">
        <f t="shared" ca="1" si="28"/>
        <v>10000</v>
      </c>
      <c r="F80" s="52">
        <f t="shared" ca="1" si="29"/>
        <v>166875</v>
      </c>
      <c r="G80" s="52">
        <f t="shared" ca="1" si="30"/>
        <v>815625</v>
      </c>
      <c r="H80" s="53">
        <f t="shared" ca="1" si="31"/>
        <v>982500</v>
      </c>
    </row>
    <row r="81" spans="1:8" x14ac:dyDescent="0.3">
      <c r="A81" s="23">
        <v>193</v>
      </c>
      <c r="B81" s="22">
        <f t="shared" si="25"/>
        <v>48.449999999999996</v>
      </c>
      <c r="C81" s="22">
        <f t="shared" si="26"/>
        <v>133</v>
      </c>
      <c r="D81" s="12">
        <f t="shared" si="27"/>
        <v>0.26701570680628273</v>
      </c>
      <c r="E81" s="6">
        <f t="shared" ca="1" si="28"/>
        <v>10000</v>
      </c>
      <c r="F81" s="52">
        <f t="shared" ca="1" si="29"/>
        <v>156875</v>
      </c>
      <c r="G81" s="52">
        <f t="shared" ca="1" si="30"/>
        <v>825625</v>
      </c>
      <c r="H81" s="53">
        <f t="shared" ca="1" si="31"/>
        <v>982500</v>
      </c>
    </row>
    <row r="82" spans="1:8" x14ac:dyDescent="0.3">
      <c r="A82" s="23">
        <v>194</v>
      </c>
      <c r="B82" s="22">
        <f t="shared" si="25"/>
        <v>47.6</v>
      </c>
      <c r="C82" s="22">
        <f t="shared" si="26"/>
        <v>134</v>
      </c>
      <c r="D82" s="12">
        <f t="shared" si="27"/>
        <v>0.26211453744493396</v>
      </c>
      <c r="E82" s="6">
        <f t="shared" ca="1" si="28"/>
        <v>10000</v>
      </c>
      <c r="F82" s="52">
        <f t="shared" ca="1" si="29"/>
        <v>146875</v>
      </c>
      <c r="G82" s="52">
        <f t="shared" ca="1" si="30"/>
        <v>835625</v>
      </c>
      <c r="H82" s="53">
        <f t="shared" ca="1" si="31"/>
        <v>982500</v>
      </c>
    </row>
    <row r="83" spans="1:8" x14ac:dyDescent="0.3">
      <c r="A83" s="23">
        <v>195</v>
      </c>
      <c r="B83" s="22">
        <f t="shared" si="25"/>
        <v>46.75</v>
      </c>
      <c r="C83" s="22">
        <f t="shared" si="26"/>
        <v>135</v>
      </c>
      <c r="D83" s="12">
        <f t="shared" si="27"/>
        <v>0.25722145804676755</v>
      </c>
      <c r="E83" s="6">
        <f t="shared" ca="1" si="28"/>
        <v>10000</v>
      </c>
      <c r="F83" s="52">
        <f t="shared" ca="1" si="29"/>
        <v>136875</v>
      </c>
      <c r="G83" s="52">
        <f t="shared" ca="1" si="30"/>
        <v>845625</v>
      </c>
      <c r="H83" s="53">
        <f t="shared" ca="1" si="31"/>
        <v>982500</v>
      </c>
    </row>
    <row r="84" spans="1:8" x14ac:dyDescent="0.3">
      <c r="A84" s="23">
        <v>196</v>
      </c>
      <c r="B84" s="22">
        <f t="shared" si="25"/>
        <v>45.9</v>
      </c>
      <c r="C84" s="22">
        <f t="shared" si="26"/>
        <v>136</v>
      </c>
      <c r="D84" s="12">
        <f t="shared" si="27"/>
        <v>0.25233644859813081</v>
      </c>
      <c r="E84" s="6">
        <f t="shared" ca="1" si="28"/>
        <v>10000</v>
      </c>
      <c r="F84" s="52">
        <f t="shared" ca="1" si="29"/>
        <v>126875</v>
      </c>
      <c r="G84" s="52">
        <f t="shared" ca="1" si="30"/>
        <v>855625</v>
      </c>
      <c r="H84" s="53">
        <f t="shared" ca="1" si="31"/>
        <v>982500</v>
      </c>
    </row>
    <row r="85" spans="1:8" x14ac:dyDescent="0.3">
      <c r="A85" s="23">
        <v>197</v>
      </c>
      <c r="B85" s="22">
        <f t="shared" si="25"/>
        <v>45.05</v>
      </c>
      <c r="C85" s="22">
        <f t="shared" si="26"/>
        <v>137</v>
      </c>
      <c r="D85" s="12">
        <f t="shared" si="27"/>
        <v>0.24745948915133201</v>
      </c>
      <c r="E85" s="6">
        <f t="shared" ca="1" si="28"/>
        <v>9000</v>
      </c>
      <c r="F85" s="52">
        <f t="shared" ca="1" si="29"/>
        <v>139500</v>
      </c>
      <c r="G85" s="52">
        <f t="shared" ca="1" si="30"/>
        <v>780500</v>
      </c>
      <c r="H85" s="53">
        <f t="shared" ca="1" si="31"/>
        <v>920000</v>
      </c>
    </row>
    <row r="86" spans="1:8" x14ac:dyDescent="0.3">
      <c r="A86" s="23">
        <v>198</v>
      </c>
      <c r="B86" s="22">
        <f t="shared" si="25"/>
        <v>44.199999999999996</v>
      </c>
      <c r="C86" s="22">
        <f t="shared" si="26"/>
        <v>138</v>
      </c>
      <c r="D86" s="12">
        <f t="shared" si="27"/>
        <v>0.24259055982436881</v>
      </c>
      <c r="E86" s="6">
        <f t="shared" ca="1" si="28"/>
        <v>9000</v>
      </c>
      <c r="F86" s="52">
        <f t="shared" ca="1" si="29"/>
        <v>130500</v>
      </c>
      <c r="G86" s="52">
        <f t="shared" ca="1" si="30"/>
        <v>789500</v>
      </c>
      <c r="H86" s="53">
        <f t="shared" ca="1" si="31"/>
        <v>920000</v>
      </c>
    </row>
    <row r="87" spans="1:8" x14ac:dyDescent="0.3">
      <c r="A87" s="23">
        <v>199</v>
      </c>
      <c r="B87" s="22">
        <f t="shared" si="25"/>
        <v>43.35</v>
      </c>
      <c r="C87" s="22">
        <f t="shared" si="26"/>
        <v>139</v>
      </c>
      <c r="D87" s="12">
        <f t="shared" si="27"/>
        <v>0.23772964080065809</v>
      </c>
      <c r="E87" s="6">
        <f t="shared" ca="1" si="28"/>
        <v>9000</v>
      </c>
      <c r="F87" s="52">
        <f t="shared" ca="1" si="29"/>
        <v>121500</v>
      </c>
      <c r="G87" s="52">
        <f t="shared" ca="1" si="30"/>
        <v>798500</v>
      </c>
      <c r="H87" s="53">
        <f t="shared" ca="1" si="31"/>
        <v>920000</v>
      </c>
    </row>
  </sheetData>
  <mergeCells count="7">
    <mergeCell ref="A1:B1"/>
    <mergeCell ref="M28:T28"/>
    <mergeCell ref="U28:V28"/>
    <mergeCell ref="M49:T49"/>
    <mergeCell ref="U49:V49"/>
    <mergeCell ref="N13:R13"/>
    <mergeCell ref="J44:J50"/>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FF00"/>
  </sheetPr>
  <dimension ref="A1:O28"/>
  <sheetViews>
    <sheetView workbookViewId="0">
      <selection activeCell="B3" sqref="B3"/>
    </sheetView>
  </sheetViews>
  <sheetFormatPr defaultRowHeight="16.5" x14ac:dyDescent="0.3"/>
  <cols>
    <col min="1" max="1" width="22.140625" style="3" customWidth="1"/>
    <col min="2" max="2" width="12" style="3" bestFit="1" customWidth="1"/>
    <col min="3" max="3" width="9.140625" style="3"/>
    <col min="4" max="4" width="14" style="3" bestFit="1" customWidth="1"/>
    <col min="5" max="5" width="17" style="3" bestFit="1" customWidth="1"/>
    <col min="6" max="6" width="15.5703125" style="3" bestFit="1" customWidth="1"/>
    <col min="7" max="7" width="13.5703125" style="3" bestFit="1" customWidth="1"/>
    <col min="8" max="8" width="17" style="3" bestFit="1" customWidth="1"/>
    <col min="9" max="9" width="15.5703125" style="3" bestFit="1" customWidth="1"/>
    <col min="10" max="10" width="18.7109375" style="3" bestFit="1" customWidth="1"/>
    <col min="11" max="11" width="9.140625" style="3"/>
    <col min="12" max="12" width="18.7109375" style="3" bestFit="1" customWidth="1"/>
    <col min="13" max="13" width="13.5703125" style="3" bestFit="1" customWidth="1"/>
    <col min="14" max="14" width="9.140625" style="3" bestFit="1" customWidth="1"/>
    <col min="15" max="16384" width="9.140625" style="3"/>
  </cols>
  <sheetData>
    <row r="1" spans="1:15" x14ac:dyDescent="0.3">
      <c r="A1" s="7" t="s">
        <v>44</v>
      </c>
      <c r="B1" s="22">
        <f>'Data From Case'!B2</f>
        <v>250</v>
      </c>
      <c r="D1" s="26" t="s">
        <v>19</v>
      </c>
      <c r="E1" s="22">
        <f>B1-B2</f>
        <v>110</v>
      </c>
      <c r="L1" s="11" t="s">
        <v>29</v>
      </c>
      <c r="M1" s="11" t="s">
        <v>27</v>
      </c>
      <c r="N1" s="11" t="s">
        <v>5</v>
      </c>
    </row>
    <row r="2" spans="1:15" x14ac:dyDescent="0.3">
      <c r="A2" s="26" t="s">
        <v>45</v>
      </c>
      <c r="B2" s="22">
        <f>'Data From Case'!E3</f>
        <v>140</v>
      </c>
      <c r="D2" s="26" t="s">
        <v>20</v>
      </c>
      <c r="E2" s="22">
        <f>B2-B4</f>
        <v>140</v>
      </c>
      <c r="L2" s="13">
        <f>'Observed Demand'!D5</f>
        <v>0.25</v>
      </c>
      <c r="M2" s="6">
        <f>'Observed Demand'!A5</f>
        <v>9000</v>
      </c>
      <c r="N2" s="31">
        <f>'Observed Demand'!C5</f>
        <v>0.25</v>
      </c>
      <c r="O2" s="43" t="b">
        <f>IF(L2&gt;=$E$3, L2-$E$3)</f>
        <v>0</v>
      </c>
    </row>
    <row r="3" spans="1:15" x14ac:dyDescent="0.3">
      <c r="A3" s="7" t="s">
        <v>46</v>
      </c>
      <c r="B3" s="22">
        <f>'Data From Case'!E4</f>
        <v>70000</v>
      </c>
      <c r="D3" s="7" t="s">
        <v>22</v>
      </c>
      <c r="E3" s="27">
        <f>(E1) / (E1+E2)</f>
        <v>0.44</v>
      </c>
      <c r="G3" s="141" t="s">
        <v>68</v>
      </c>
      <c r="H3" s="141"/>
      <c r="I3" s="141"/>
      <c r="J3" s="29">
        <f>J28</f>
        <v>1023437.5</v>
      </c>
      <c r="L3" s="13">
        <f>'Observed Demand'!D6</f>
        <v>0.28125</v>
      </c>
      <c r="M3" s="6">
        <f>'Observed Demand'!A6</f>
        <v>10000</v>
      </c>
      <c r="N3" s="31">
        <f>'Observed Demand'!C6</f>
        <v>3.125E-2</v>
      </c>
      <c r="O3" s="43" t="b">
        <f t="shared" ref="O3:O12" si="0">IF(L3&gt;=$E$3, L3-$E$3)</f>
        <v>0</v>
      </c>
    </row>
    <row r="4" spans="1:15" x14ac:dyDescent="0.3">
      <c r="A4" s="7" t="s">
        <v>21</v>
      </c>
      <c r="B4" s="22">
        <v>0</v>
      </c>
      <c r="D4" s="7" t="s">
        <v>47</v>
      </c>
      <c r="E4" s="28">
        <f>VLOOKUP(E3+O13, L2:N12, 2)</f>
        <v>12000</v>
      </c>
      <c r="G4" s="141" t="s">
        <v>67</v>
      </c>
      <c r="H4" s="141"/>
      <c r="I4" s="141"/>
      <c r="J4" s="29">
        <f>'Uncoordinated  SC Profits'!M26</f>
        <v>982500</v>
      </c>
      <c r="L4" s="13">
        <f>'Observed Demand'!D7</f>
        <v>0.375</v>
      </c>
      <c r="M4" s="6">
        <f>'Observed Demand'!A7</f>
        <v>11000</v>
      </c>
      <c r="N4" s="31">
        <f>'Observed Demand'!C7</f>
        <v>9.375E-2</v>
      </c>
      <c r="O4" s="43" t="b">
        <f t="shared" si="0"/>
        <v>0</v>
      </c>
    </row>
    <row r="5" spans="1:15" x14ac:dyDescent="0.3">
      <c r="L5" s="13">
        <f>'Observed Demand'!D8</f>
        <v>0.46875</v>
      </c>
      <c r="M5" s="6">
        <f>'Observed Demand'!A8</f>
        <v>12000</v>
      </c>
      <c r="N5" s="31">
        <f>'Observed Demand'!C8</f>
        <v>9.375E-2</v>
      </c>
      <c r="O5" s="43">
        <f t="shared" si="0"/>
        <v>2.8749999999999998E-2</v>
      </c>
    </row>
    <row r="6" spans="1:15" x14ac:dyDescent="0.3">
      <c r="A6" s="142" t="s">
        <v>48</v>
      </c>
      <c r="B6" s="142"/>
      <c r="C6" s="142"/>
      <c r="D6" s="142"/>
      <c r="E6" s="142"/>
      <c r="L6" s="13">
        <f>'Observed Demand'!D9</f>
        <v>0.5</v>
      </c>
      <c r="M6" s="6">
        <f>'Observed Demand'!A9</f>
        <v>13000</v>
      </c>
      <c r="N6" s="31">
        <f>'Observed Demand'!C9</f>
        <v>3.125E-2</v>
      </c>
      <c r="O6" s="43">
        <f t="shared" si="0"/>
        <v>0.06</v>
      </c>
    </row>
    <row r="7" spans="1:15" x14ac:dyDescent="0.3">
      <c r="A7" s="142"/>
      <c r="B7" s="142"/>
      <c r="C7" s="142"/>
      <c r="D7" s="142"/>
      <c r="E7" s="142"/>
      <c r="L7" s="13">
        <f>'Observed Demand'!D10</f>
        <v>0.53125</v>
      </c>
      <c r="M7" s="6">
        <f>'Observed Demand'!A10</f>
        <v>14000</v>
      </c>
      <c r="N7" s="31">
        <f>'Observed Demand'!C10</f>
        <v>3.125E-2</v>
      </c>
      <c r="O7" s="43">
        <f t="shared" si="0"/>
        <v>9.1249999999999998E-2</v>
      </c>
    </row>
    <row r="8" spans="1:15" x14ac:dyDescent="0.3">
      <c r="A8" s="142"/>
      <c r="B8" s="142"/>
      <c r="C8" s="142"/>
      <c r="D8" s="142"/>
      <c r="E8" s="142"/>
      <c r="L8" s="13">
        <f>'Observed Demand'!D11</f>
        <v>0.59375</v>
      </c>
      <c r="M8" s="6">
        <f>'Observed Demand'!A11</f>
        <v>15000</v>
      </c>
      <c r="N8" s="31">
        <f>'Observed Demand'!C11</f>
        <v>6.25E-2</v>
      </c>
      <c r="O8" s="43">
        <f t="shared" si="0"/>
        <v>0.15375</v>
      </c>
    </row>
    <row r="9" spans="1:15" x14ac:dyDescent="0.3">
      <c r="A9" s="142"/>
      <c r="B9" s="142"/>
      <c r="C9" s="142"/>
      <c r="D9" s="142"/>
      <c r="E9" s="142"/>
      <c r="L9" s="13">
        <f>'Observed Demand'!D12</f>
        <v>0.625</v>
      </c>
      <c r="M9" s="6">
        <f>'Observed Demand'!A12</f>
        <v>16000</v>
      </c>
      <c r="N9" s="31">
        <f>'Observed Demand'!C12</f>
        <v>3.125E-2</v>
      </c>
      <c r="O9" s="43">
        <f t="shared" si="0"/>
        <v>0.185</v>
      </c>
    </row>
    <row r="10" spans="1:15" x14ac:dyDescent="0.3">
      <c r="A10" s="142"/>
      <c r="B10" s="142"/>
      <c r="C10" s="142"/>
      <c r="D10" s="142"/>
      <c r="E10" s="142"/>
      <c r="L10" s="13">
        <f>'Observed Demand'!D13</f>
        <v>0.6875</v>
      </c>
      <c r="M10" s="6">
        <f>'Observed Demand'!A13</f>
        <v>17000</v>
      </c>
      <c r="N10" s="31">
        <f>'Observed Demand'!C13</f>
        <v>6.25E-2</v>
      </c>
      <c r="O10" s="43">
        <f t="shared" si="0"/>
        <v>0.2475</v>
      </c>
    </row>
    <row r="11" spans="1:15" x14ac:dyDescent="0.3">
      <c r="A11" s="142"/>
      <c r="B11" s="142"/>
      <c r="C11" s="142"/>
      <c r="D11" s="142"/>
      <c r="E11" s="142"/>
      <c r="L11" s="13">
        <f>'Observed Demand'!D14</f>
        <v>0.84375</v>
      </c>
      <c r="M11" s="6">
        <f>'Observed Demand'!A14</f>
        <v>18000</v>
      </c>
      <c r="N11" s="31">
        <f>'Observed Demand'!C14</f>
        <v>0.15625</v>
      </c>
      <c r="O11" s="43">
        <f t="shared" si="0"/>
        <v>0.40375</v>
      </c>
    </row>
    <row r="12" spans="1:15" x14ac:dyDescent="0.3">
      <c r="A12" s="142"/>
      <c r="B12" s="142"/>
      <c r="C12" s="142"/>
      <c r="D12" s="142"/>
      <c r="E12" s="142"/>
      <c r="L12" s="13">
        <f>'Observed Demand'!D15</f>
        <v>1</v>
      </c>
      <c r="M12" s="6">
        <f>'Observed Demand'!A15</f>
        <v>19000</v>
      </c>
      <c r="N12" s="31">
        <f>'Observed Demand'!C15</f>
        <v>0.15625</v>
      </c>
      <c r="O12" s="43">
        <f t="shared" si="0"/>
        <v>0.56000000000000005</v>
      </c>
    </row>
    <row r="13" spans="1:15" x14ac:dyDescent="0.3">
      <c r="A13" s="142"/>
      <c r="B13" s="142"/>
      <c r="C13" s="142"/>
      <c r="D13" s="142"/>
      <c r="E13" s="142"/>
      <c r="O13" s="43">
        <f>MIN(O2:O12)</f>
        <v>2.8749999999999998E-2</v>
      </c>
    </row>
    <row r="16" spans="1:15" ht="49.5" x14ac:dyDescent="0.3">
      <c r="A16" s="8" t="s">
        <v>0</v>
      </c>
      <c r="B16" s="8" t="s">
        <v>4</v>
      </c>
      <c r="C16" s="8" t="s">
        <v>5</v>
      </c>
      <c r="D16" s="21" t="s">
        <v>32</v>
      </c>
      <c r="E16" s="21" t="s">
        <v>33</v>
      </c>
      <c r="F16" s="21" t="s">
        <v>65</v>
      </c>
      <c r="G16" s="21" t="s">
        <v>39</v>
      </c>
      <c r="H16" s="21" t="s">
        <v>40</v>
      </c>
      <c r="I16" s="8" t="s">
        <v>3</v>
      </c>
      <c r="J16" s="8" t="s">
        <v>7</v>
      </c>
    </row>
    <row r="17" spans="1:10" x14ac:dyDescent="0.3">
      <c r="A17" s="6">
        <v>1</v>
      </c>
      <c r="B17" s="6">
        <f>'Observed Demand'!A5</f>
        <v>9000</v>
      </c>
      <c r="C17" s="12">
        <f>'Observed Demand'!C5</f>
        <v>0.25</v>
      </c>
      <c r="D17" s="6">
        <f t="shared" ref="D17:D27" si="1">$E$4</f>
        <v>12000</v>
      </c>
      <c r="E17" s="22">
        <f>IF(B17&lt;=D17, B17*$B$1, D17*$B$1)</f>
        <v>2250000</v>
      </c>
      <c r="F17" s="23">
        <f>IF(B17&lt;=D17, (D17-B17)*$B$4, 0)</f>
        <v>0</v>
      </c>
      <c r="G17" s="23">
        <f t="shared" ref="G17:G27" si="2">D17*$B$2</f>
        <v>1680000</v>
      </c>
      <c r="H17" s="22">
        <f>$B$3</f>
        <v>70000</v>
      </c>
      <c r="I17" s="22">
        <f>(E17+F17) - (G17+H17)</f>
        <v>500000</v>
      </c>
      <c r="J17" s="22">
        <f t="shared" ref="J17:J27" si="3">I17*C17</f>
        <v>125000</v>
      </c>
    </row>
    <row r="18" spans="1:10" x14ac:dyDescent="0.3">
      <c r="A18" s="6">
        <v>2</v>
      </c>
      <c r="B18" s="6">
        <f>'Observed Demand'!A6</f>
        <v>10000</v>
      </c>
      <c r="C18" s="12">
        <f>'Observed Demand'!C6</f>
        <v>3.125E-2</v>
      </c>
      <c r="D18" s="6">
        <f t="shared" si="1"/>
        <v>12000</v>
      </c>
      <c r="E18" s="22">
        <f t="shared" ref="E18:E27" si="4">IF(B18&lt;=D18, B18*$B$1, D18*$B$1)</f>
        <v>2500000</v>
      </c>
      <c r="F18" s="23">
        <f t="shared" ref="F18:F27" si="5">IF(B18&lt;=D18, (D18-B18)*$B$4, 0)</f>
        <v>0</v>
      </c>
      <c r="G18" s="23">
        <f t="shared" si="2"/>
        <v>1680000</v>
      </c>
      <c r="H18" s="22">
        <f t="shared" ref="H18:H27" si="6">$B$3</f>
        <v>70000</v>
      </c>
      <c r="I18" s="22">
        <f t="shared" ref="I18:I27" si="7">(E18+F18) - (G18+H18)</f>
        <v>750000</v>
      </c>
      <c r="J18" s="22">
        <f t="shared" si="3"/>
        <v>23437.5</v>
      </c>
    </row>
    <row r="19" spans="1:10" x14ac:dyDescent="0.3">
      <c r="A19" s="6">
        <v>3</v>
      </c>
      <c r="B19" s="6">
        <f>'Observed Demand'!A7</f>
        <v>11000</v>
      </c>
      <c r="C19" s="12">
        <f>'Observed Demand'!C7</f>
        <v>9.375E-2</v>
      </c>
      <c r="D19" s="6">
        <f t="shared" si="1"/>
        <v>12000</v>
      </c>
      <c r="E19" s="22">
        <f t="shared" si="4"/>
        <v>2750000</v>
      </c>
      <c r="F19" s="23">
        <f t="shared" si="5"/>
        <v>0</v>
      </c>
      <c r="G19" s="23">
        <f t="shared" si="2"/>
        <v>1680000</v>
      </c>
      <c r="H19" s="22">
        <f t="shared" si="6"/>
        <v>70000</v>
      </c>
      <c r="I19" s="22">
        <f t="shared" si="7"/>
        <v>1000000</v>
      </c>
      <c r="J19" s="22">
        <f t="shared" si="3"/>
        <v>93750</v>
      </c>
    </row>
    <row r="20" spans="1:10" x14ac:dyDescent="0.3">
      <c r="A20" s="6">
        <v>4</v>
      </c>
      <c r="B20" s="6">
        <f>'Observed Demand'!A8</f>
        <v>12000</v>
      </c>
      <c r="C20" s="12">
        <f>'Observed Demand'!C8</f>
        <v>9.375E-2</v>
      </c>
      <c r="D20" s="6">
        <f t="shared" si="1"/>
        <v>12000</v>
      </c>
      <c r="E20" s="22">
        <f t="shared" si="4"/>
        <v>3000000</v>
      </c>
      <c r="F20" s="23">
        <f t="shared" si="5"/>
        <v>0</v>
      </c>
      <c r="G20" s="23">
        <f t="shared" si="2"/>
        <v>1680000</v>
      </c>
      <c r="H20" s="22">
        <f t="shared" si="6"/>
        <v>70000</v>
      </c>
      <c r="I20" s="22">
        <f t="shared" si="7"/>
        <v>1250000</v>
      </c>
      <c r="J20" s="22">
        <f t="shared" si="3"/>
        <v>117187.5</v>
      </c>
    </row>
    <row r="21" spans="1:10" x14ac:dyDescent="0.3">
      <c r="A21" s="6">
        <v>5</v>
      </c>
      <c r="B21" s="6">
        <f>'Observed Demand'!A9</f>
        <v>13000</v>
      </c>
      <c r="C21" s="12">
        <f>'Observed Demand'!C9</f>
        <v>3.125E-2</v>
      </c>
      <c r="D21" s="6">
        <f t="shared" si="1"/>
        <v>12000</v>
      </c>
      <c r="E21" s="22">
        <f t="shared" si="4"/>
        <v>3000000</v>
      </c>
      <c r="F21" s="23">
        <f t="shared" si="5"/>
        <v>0</v>
      </c>
      <c r="G21" s="23">
        <f t="shared" si="2"/>
        <v>1680000</v>
      </c>
      <c r="H21" s="22">
        <f t="shared" si="6"/>
        <v>70000</v>
      </c>
      <c r="I21" s="22">
        <f t="shared" si="7"/>
        <v>1250000</v>
      </c>
      <c r="J21" s="22">
        <f t="shared" si="3"/>
        <v>39062.5</v>
      </c>
    </row>
    <row r="22" spans="1:10" x14ac:dyDescent="0.3">
      <c r="A22" s="6">
        <v>6</v>
      </c>
      <c r="B22" s="6">
        <f>'Observed Demand'!A10</f>
        <v>14000</v>
      </c>
      <c r="C22" s="12">
        <f>'Observed Demand'!C10</f>
        <v>3.125E-2</v>
      </c>
      <c r="D22" s="6">
        <f t="shared" si="1"/>
        <v>12000</v>
      </c>
      <c r="E22" s="22">
        <f t="shared" si="4"/>
        <v>3000000</v>
      </c>
      <c r="F22" s="23">
        <f t="shared" si="5"/>
        <v>0</v>
      </c>
      <c r="G22" s="23">
        <f t="shared" si="2"/>
        <v>1680000</v>
      </c>
      <c r="H22" s="22">
        <f t="shared" si="6"/>
        <v>70000</v>
      </c>
      <c r="I22" s="22">
        <f t="shared" si="7"/>
        <v>1250000</v>
      </c>
      <c r="J22" s="22">
        <f t="shared" si="3"/>
        <v>39062.5</v>
      </c>
    </row>
    <row r="23" spans="1:10" x14ac:dyDescent="0.3">
      <c r="A23" s="6">
        <v>7</v>
      </c>
      <c r="B23" s="6">
        <f>'Observed Demand'!A11</f>
        <v>15000</v>
      </c>
      <c r="C23" s="12">
        <f>'Observed Demand'!C11</f>
        <v>6.25E-2</v>
      </c>
      <c r="D23" s="6">
        <f t="shared" si="1"/>
        <v>12000</v>
      </c>
      <c r="E23" s="22">
        <f t="shared" si="4"/>
        <v>3000000</v>
      </c>
      <c r="F23" s="23">
        <f t="shared" si="5"/>
        <v>0</v>
      </c>
      <c r="G23" s="23">
        <f t="shared" si="2"/>
        <v>1680000</v>
      </c>
      <c r="H23" s="22">
        <f t="shared" si="6"/>
        <v>70000</v>
      </c>
      <c r="I23" s="22">
        <f t="shared" si="7"/>
        <v>1250000</v>
      </c>
      <c r="J23" s="22">
        <f t="shared" si="3"/>
        <v>78125</v>
      </c>
    </row>
    <row r="24" spans="1:10" x14ac:dyDescent="0.3">
      <c r="A24" s="6">
        <v>8</v>
      </c>
      <c r="B24" s="6">
        <f>'Observed Demand'!A12</f>
        <v>16000</v>
      </c>
      <c r="C24" s="12">
        <f>'Observed Demand'!C12</f>
        <v>3.125E-2</v>
      </c>
      <c r="D24" s="6">
        <f t="shared" si="1"/>
        <v>12000</v>
      </c>
      <c r="E24" s="22">
        <f t="shared" si="4"/>
        <v>3000000</v>
      </c>
      <c r="F24" s="23">
        <f t="shared" si="5"/>
        <v>0</v>
      </c>
      <c r="G24" s="23">
        <f t="shared" si="2"/>
        <v>1680000</v>
      </c>
      <c r="H24" s="22">
        <f t="shared" si="6"/>
        <v>70000</v>
      </c>
      <c r="I24" s="22">
        <f t="shared" si="7"/>
        <v>1250000</v>
      </c>
      <c r="J24" s="22">
        <f t="shared" si="3"/>
        <v>39062.5</v>
      </c>
    </row>
    <row r="25" spans="1:10" x14ac:dyDescent="0.3">
      <c r="A25" s="6">
        <v>9</v>
      </c>
      <c r="B25" s="6">
        <f>'Observed Demand'!A13</f>
        <v>17000</v>
      </c>
      <c r="C25" s="12">
        <f>'Observed Demand'!C13</f>
        <v>6.25E-2</v>
      </c>
      <c r="D25" s="6">
        <f t="shared" si="1"/>
        <v>12000</v>
      </c>
      <c r="E25" s="22">
        <f t="shared" si="4"/>
        <v>3000000</v>
      </c>
      <c r="F25" s="23">
        <f t="shared" si="5"/>
        <v>0</v>
      </c>
      <c r="G25" s="23">
        <f t="shared" si="2"/>
        <v>1680000</v>
      </c>
      <c r="H25" s="22">
        <f t="shared" si="6"/>
        <v>70000</v>
      </c>
      <c r="I25" s="22">
        <f t="shared" si="7"/>
        <v>1250000</v>
      </c>
      <c r="J25" s="22">
        <f t="shared" si="3"/>
        <v>78125</v>
      </c>
    </row>
    <row r="26" spans="1:10" x14ac:dyDescent="0.3">
      <c r="A26" s="6">
        <v>10</v>
      </c>
      <c r="B26" s="6">
        <f>'Observed Demand'!A14</f>
        <v>18000</v>
      </c>
      <c r="C26" s="12">
        <f>'Observed Demand'!C14</f>
        <v>0.15625</v>
      </c>
      <c r="D26" s="6">
        <f t="shared" si="1"/>
        <v>12000</v>
      </c>
      <c r="E26" s="22">
        <f t="shared" si="4"/>
        <v>3000000</v>
      </c>
      <c r="F26" s="23">
        <f t="shared" si="5"/>
        <v>0</v>
      </c>
      <c r="G26" s="23">
        <f t="shared" si="2"/>
        <v>1680000</v>
      </c>
      <c r="H26" s="22">
        <f t="shared" si="6"/>
        <v>70000</v>
      </c>
      <c r="I26" s="22">
        <f t="shared" si="7"/>
        <v>1250000</v>
      </c>
      <c r="J26" s="22">
        <f t="shared" si="3"/>
        <v>195312.5</v>
      </c>
    </row>
    <row r="27" spans="1:10" x14ac:dyDescent="0.3">
      <c r="A27" s="6">
        <v>11</v>
      </c>
      <c r="B27" s="6">
        <f>'Observed Demand'!A15</f>
        <v>19000</v>
      </c>
      <c r="C27" s="12">
        <f>'Observed Demand'!C15</f>
        <v>0.15625</v>
      </c>
      <c r="D27" s="6">
        <f t="shared" si="1"/>
        <v>12000</v>
      </c>
      <c r="E27" s="22">
        <f t="shared" si="4"/>
        <v>3000000</v>
      </c>
      <c r="F27" s="23">
        <f t="shared" si="5"/>
        <v>0</v>
      </c>
      <c r="G27" s="23">
        <f t="shared" si="2"/>
        <v>1680000</v>
      </c>
      <c r="H27" s="22">
        <f t="shared" si="6"/>
        <v>70000</v>
      </c>
      <c r="I27" s="22">
        <f t="shared" si="7"/>
        <v>1250000</v>
      </c>
      <c r="J27" s="22">
        <f t="shared" si="3"/>
        <v>195312.5</v>
      </c>
    </row>
    <row r="28" spans="1:10" x14ac:dyDescent="0.3">
      <c r="A28" s="139" t="s">
        <v>64</v>
      </c>
      <c r="B28" s="139"/>
      <c r="C28" s="139"/>
      <c r="D28" s="139"/>
      <c r="E28" s="139"/>
      <c r="F28" s="139"/>
      <c r="G28" s="139"/>
      <c r="H28" s="139"/>
      <c r="I28" s="139"/>
      <c r="J28" s="24">
        <f>SUM(J17:J27)</f>
        <v>1023437.5</v>
      </c>
    </row>
  </sheetData>
  <sheetProtection sheet="1" objects="1" scenarios="1"/>
  <mergeCells count="4">
    <mergeCell ref="A6:E13"/>
    <mergeCell ref="A28:I28"/>
    <mergeCell ref="G3:I3"/>
    <mergeCell ref="G4:I4"/>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7030A0"/>
  </sheetPr>
  <dimension ref="A1:V94"/>
  <sheetViews>
    <sheetView topLeftCell="A94" zoomScaleNormal="100" workbookViewId="0">
      <selection activeCell="I110" sqref="I110"/>
    </sheetView>
  </sheetViews>
  <sheetFormatPr defaultRowHeight="16.5" x14ac:dyDescent="0.3"/>
  <cols>
    <col min="1" max="1" width="15.42578125" style="3" customWidth="1"/>
    <col min="2" max="2" width="16.5703125" style="3" customWidth="1"/>
    <col min="3" max="3" width="12.28515625" style="3" bestFit="1" customWidth="1"/>
    <col min="4" max="4" width="12.28515625" style="3" customWidth="1"/>
    <col min="5" max="5" width="20.28515625" style="3" customWidth="1"/>
    <col min="6" max="6" width="21.85546875" style="3" customWidth="1"/>
    <col min="7" max="7" width="21.28515625" style="3" customWidth="1"/>
    <col min="8" max="8" width="21.85546875" style="3" customWidth="1"/>
    <col min="9" max="9" width="9.140625" style="3"/>
    <col min="10" max="10" width="13.5703125" style="3" bestFit="1" customWidth="1"/>
    <col min="11" max="12" width="9.140625" style="3"/>
    <col min="13" max="13" width="18.7109375" style="3" bestFit="1" customWidth="1"/>
    <col min="14" max="14" width="12" style="3" bestFit="1" customWidth="1"/>
    <col min="15" max="15" width="9.140625" style="3"/>
    <col min="16" max="16" width="14.28515625" style="3" bestFit="1" customWidth="1"/>
    <col min="17" max="17" width="21.28515625" style="3" customWidth="1"/>
    <col min="18" max="18" width="28.28515625" style="3" customWidth="1"/>
    <col min="19" max="19" width="18.7109375" style="3" bestFit="1" customWidth="1"/>
    <col min="20" max="20" width="20.85546875" style="3" customWidth="1"/>
    <col min="21" max="21" width="16.28515625" style="3" customWidth="1"/>
    <col min="22" max="22" width="12.85546875" style="3" bestFit="1" customWidth="1"/>
    <col min="23" max="16384" width="9.140625" style="3"/>
  </cols>
  <sheetData>
    <row r="1" spans="1:21" ht="34.5" customHeight="1" x14ac:dyDescent="0.3">
      <c r="A1" s="38" t="s">
        <v>51</v>
      </c>
      <c r="M1" s="2" t="s">
        <v>23</v>
      </c>
      <c r="Q1" s="11" t="s">
        <v>29</v>
      </c>
      <c r="R1" s="11" t="s">
        <v>27</v>
      </c>
      <c r="S1" s="11" t="s">
        <v>5</v>
      </c>
    </row>
    <row r="2" spans="1:21" x14ac:dyDescent="0.3">
      <c r="A2" s="8" t="s">
        <v>49</v>
      </c>
      <c r="B2" s="37">
        <f>'Data From Case'!$B$4</f>
        <v>60</v>
      </c>
      <c r="M2" s="4" t="s">
        <v>6</v>
      </c>
      <c r="N2" s="5">
        <f>'Data From Case'!B2</f>
        <v>250</v>
      </c>
      <c r="O2" s="14"/>
      <c r="Q2" s="35">
        <f>'Observed Demand'!D5</f>
        <v>0.25</v>
      </c>
      <c r="R2" s="36">
        <f>'Observed Demand'!A5</f>
        <v>9000</v>
      </c>
      <c r="S2" s="35">
        <f>'Observed Demand'!C5</f>
        <v>0.25</v>
      </c>
    </row>
    <row r="3" spans="1:21" x14ac:dyDescent="0.3">
      <c r="A3" s="8" t="s">
        <v>50</v>
      </c>
      <c r="B3" s="37">
        <f>'Data From Case'!$E$3</f>
        <v>140</v>
      </c>
      <c r="M3" s="8" t="s">
        <v>9</v>
      </c>
      <c r="N3" s="5">
        <f>'Data From Case'!B3</f>
        <v>200</v>
      </c>
      <c r="Q3" s="35">
        <f>'Observed Demand'!D6</f>
        <v>0.28125</v>
      </c>
      <c r="R3" s="36">
        <f>'Observed Demand'!A6</f>
        <v>10000</v>
      </c>
      <c r="S3" s="35">
        <f>'Observed Demand'!C6</f>
        <v>3.125E-2</v>
      </c>
    </row>
    <row r="4" spans="1:21" x14ac:dyDescent="0.3">
      <c r="M4" s="8" t="s">
        <v>19</v>
      </c>
      <c r="N4" s="15">
        <f>N2-N3</f>
        <v>50</v>
      </c>
      <c r="Q4" s="35">
        <f>'Observed Demand'!D7</f>
        <v>0.375</v>
      </c>
      <c r="R4" s="36">
        <f>'Observed Demand'!A7</f>
        <v>11000</v>
      </c>
      <c r="S4" s="35">
        <f>'Observed Demand'!C7</f>
        <v>9.375E-2</v>
      </c>
    </row>
    <row r="5" spans="1:21" ht="16.5" customHeight="1" x14ac:dyDescent="0.3">
      <c r="A5" s="7" t="s">
        <v>0</v>
      </c>
      <c r="B5" s="26" t="s">
        <v>8</v>
      </c>
      <c r="C5" s="26" t="s">
        <v>20</v>
      </c>
      <c r="D5" s="26" t="s">
        <v>22</v>
      </c>
      <c r="E5" s="26" t="s">
        <v>30</v>
      </c>
      <c r="F5" s="39" t="s">
        <v>52</v>
      </c>
      <c r="G5" s="26" t="s">
        <v>53</v>
      </c>
      <c r="H5" s="26" t="s">
        <v>1</v>
      </c>
      <c r="J5" s="51"/>
      <c r="Q5" s="35">
        <f>'Observed Demand'!D8</f>
        <v>0.46875</v>
      </c>
      <c r="R5" s="36">
        <f>'Observed Demand'!A8</f>
        <v>12000</v>
      </c>
      <c r="S5" s="35">
        <f>'Observed Demand'!C8</f>
        <v>9.375E-2</v>
      </c>
    </row>
    <row r="6" spans="1:21" x14ac:dyDescent="0.3">
      <c r="A6" s="64">
        <v>1</v>
      </c>
      <c r="B6" s="61">
        <v>61</v>
      </c>
      <c r="C6" s="62">
        <f t="shared" ref="C6:C39" si="0">$N$3-B6</f>
        <v>139</v>
      </c>
      <c r="D6" s="63">
        <f>($N$4) / ($N$4+C6)</f>
        <v>0.26455026455026454</v>
      </c>
      <c r="E6" s="64" t="e">
        <f>OptimalOrderQuantity(D6)</f>
        <v>#VALUE!</v>
      </c>
      <c r="F6" s="54" t="e">
        <f>SkiRetailProf(E6,B6)</f>
        <v>#VALUE!</v>
      </c>
      <c r="G6" s="54" t="e">
        <f>SkiEkz(E6,B6)</f>
        <v>#VALUE!</v>
      </c>
      <c r="H6" s="55" t="e">
        <f t="shared" ref="H6:H39" si="1">SUM(F6:G6)</f>
        <v>#VALUE!</v>
      </c>
      <c r="J6" s="51"/>
      <c r="Q6" s="35">
        <f>'Observed Demand'!D9</f>
        <v>0.5</v>
      </c>
      <c r="R6" s="36">
        <f>'Observed Demand'!A9</f>
        <v>13000</v>
      </c>
      <c r="S6" s="35">
        <f>'Observed Demand'!C9</f>
        <v>3.125E-2</v>
      </c>
    </row>
    <row r="7" spans="1:21" x14ac:dyDescent="0.3">
      <c r="A7" s="64">
        <v>2</v>
      </c>
      <c r="B7" s="61">
        <v>62</v>
      </c>
      <c r="C7" s="62">
        <f t="shared" si="0"/>
        <v>138</v>
      </c>
      <c r="D7" s="63">
        <f t="shared" ref="D7:D70" si="2">($N$4) / ($N$4+C7)</f>
        <v>0.26595744680851063</v>
      </c>
      <c r="E7" s="64" t="e">
        <f t="shared" ref="E7:E70" si="3">OptimalOrderQuantity(D7)</f>
        <v>#VALUE!</v>
      </c>
      <c r="F7" s="54" t="e">
        <f t="shared" ref="F7:F70" si="4">SkiRetailProf(E7,B7)</f>
        <v>#VALUE!</v>
      </c>
      <c r="G7" s="54" t="e">
        <f t="shared" ref="G7:G20" si="5">SkiEkz(E7,B7)</f>
        <v>#VALUE!</v>
      </c>
      <c r="H7" s="55" t="e">
        <f t="shared" si="1"/>
        <v>#VALUE!</v>
      </c>
      <c r="J7" s="51"/>
      <c r="Q7" s="35">
        <f>'Observed Demand'!D10</f>
        <v>0.53125</v>
      </c>
      <c r="R7" s="36">
        <f>'Observed Demand'!A10</f>
        <v>14000</v>
      </c>
      <c r="S7" s="35">
        <f>'Observed Demand'!C10</f>
        <v>3.125E-2</v>
      </c>
    </row>
    <row r="8" spans="1:21" x14ac:dyDescent="0.3">
      <c r="A8" s="64">
        <v>3</v>
      </c>
      <c r="B8" s="61">
        <v>63</v>
      </c>
      <c r="C8" s="62">
        <f t="shared" si="0"/>
        <v>137</v>
      </c>
      <c r="D8" s="63">
        <f t="shared" si="2"/>
        <v>0.26737967914438504</v>
      </c>
      <c r="E8" s="64" t="e">
        <f t="shared" si="3"/>
        <v>#VALUE!</v>
      </c>
      <c r="F8" s="54" t="e">
        <f t="shared" si="4"/>
        <v>#VALUE!</v>
      </c>
      <c r="G8" s="54" t="e">
        <f t="shared" si="5"/>
        <v>#VALUE!</v>
      </c>
      <c r="H8" s="55" t="e">
        <f t="shared" si="1"/>
        <v>#VALUE!</v>
      </c>
      <c r="J8" s="51"/>
      <c r="Q8" s="35">
        <f>'Observed Demand'!D11</f>
        <v>0.59375</v>
      </c>
      <c r="R8" s="36">
        <f>'Observed Demand'!A11</f>
        <v>15000</v>
      </c>
      <c r="S8" s="35">
        <f>'Observed Demand'!C11</f>
        <v>6.25E-2</v>
      </c>
    </row>
    <row r="9" spans="1:21" x14ac:dyDescent="0.3">
      <c r="A9" s="64">
        <v>4</v>
      </c>
      <c r="B9" s="61">
        <v>64</v>
      </c>
      <c r="C9" s="62">
        <f t="shared" si="0"/>
        <v>136</v>
      </c>
      <c r="D9" s="63">
        <f t="shared" si="2"/>
        <v>0.26881720430107525</v>
      </c>
      <c r="E9" s="64" t="e">
        <f t="shared" si="3"/>
        <v>#VALUE!</v>
      </c>
      <c r="F9" s="54" t="e">
        <f t="shared" si="4"/>
        <v>#VALUE!</v>
      </c>
      <c r="G9" s="54" t="e">
        <f t="shared" si="5"/>
        <v>#VALUE!</v>
      </c>
      <c r="H9" s="55" t="e">
        <f t="shared" si="1"/>
        <v>#VALUE!</v>
      </c>
      <c r="J9" s="51"/>
      <c r="Q9" s="35">
        <f>'Observed Demand'!D12</f>
        <v>0.625</v>
      </c>
      <c r="R9" s="36">
        <f>'Observed Demand'!A12</f>
        <v>16000</v>
      </c>
      <c r="S9" s="35">
        <f>'Observed Demand'!C12</f>
        <v>3.125E-2</v>
      </c>
    </row>
    <row r="10" spans="1:21" x14ac:dyDescent="0.3">
      <c r="A10" s="64">
        <v>5</v>
      </c>
      <c r="B10" s="61">
        <v>65</v>
      </c>
      <c r="C10" s="62">
        <f t="shared" si="0"/>
        <v>135</v>
      </c>
      <c r="D10" s="63">
        <f t="shared" si="2"/>
        <v>0.27027027027027029</v>
      </c>
      <c r="E10" s="64" t="e">
        <f t="shared" si="3"/>
        <v>#VALUE!</v>
      </c>
      <c r="F10" s="54" t="e">
        <f t="shared" si="4"/>
        <v>#VALUE!</v>
      </c>
      <c r="G10" s="54" t="e">
        <f t="shared" si="5"/>
        <v>#VALUE!</v>
      </c>
      <c r="H10" s="55" t="e">
        <f t="shared" si="1"/>
        <v>#VALUE!</v>
      </c>
      <c r="J10" s="51"/>
      <c r="Q10" s="35">
        <f>'Observed Demand'!D13</f>
        <v>0.6875</v>
      </c>
      <c r="R10" s="36">
        <f>'Observed Demand'!A13</f>
        <v>17000</v>
      </c>
      <c r="S10" s="35">
        <f>'Observed Demand'!C13</f>
        <v>6.25E-2</v>
      </c>
    </row>
    <row r="11" spans="1:21" x14ac:dyDescent="0.3">
      <c r="A11" s="64">
        <v>6</v>
      </c>
      <c r="B11" s="61">
        <v>66</v>
      </c>
      <c r="C11" s="62">
        <f t="shared" si="0"/>
        <v>134</v>
      </c>
      <c r="D11" s="63">
        <f t="shared" si="2"/>
        <v>0.27173913043478259</v>
      </c>
      <c r="E11" s="64" t="e">
        <f t="shared" si="3"/>
        <v>#VALUE!</v>
      </c>
      <c r="F11" s="54" t="e">
        <f t="shared" si="4"/>
        <v>#VALUE!</v>
      </c>
      <c r="G11" s="54" t="e">
        <f t="shared" si="5"/>
        <v>#VALUE!</v>
      </c>
      <c r="H11" s="55" t="e">
        <f t="shared" si="1"/>
        <v>#VALUE!</v>
      </c>
      <c r="J11" s="51"/>
      <c r="Q11" s="35">
        <f>'Observed Demand'!D14</f>
        <v>0.84375</v>
      </c>
      <c r="R11" s="36">
        <f>'Observed Demand'!A14</f>
        <v>18000</v>
      </c>
      <c r="S11" s="35">
        <f>'Observed Demand'!C14</f>
        <v>0.15625</v>
      </c>
    </row>
    <row r="12" spans="1:21" x14ac:dyDescent="0.3">
      <c r="A12" s="64">
        <v>7</v>
      </c>
      <c r="B12" s="61">
        <v>67</v>
      </c>
      <c r="C12" s="62">
        <f t="shared" si="0"/>
        <v>133</v>
      </c>
      <c r="D12" s="63">
        <f t="shared" si="2"/>
        <v>0.27322404371584702</v>
      </c>
      <c r="E12" s="64" t="e">
        <f t="shared" si="3"/>
        <v>#VALUE!</v>
      </c>
      <c r="F12" s="54" t="e">
        <f t="shared" si="4"/>
        <v>#VALUE!</v>
      </c>
      <c r="G12" s="54" t="e">
        <f t="shared" si="5"/>
        <v>#VALUE!</v>
      </c>
      <c r="H12" s="55" t="e">
        <f t="shared" si="1"/>
        <v>#VALUE!</v>
      </c>
      <c r="J12" s="51"/>
      <c r="M12" s="10" t="s">
        <v>56</v>
      </c>
      <c r="Q12" s="35">
        <f>'Observed Demand'!D15</f>
        <v>1</v>
      </c>
      <c r="R12" s="36">
        <f>'Observed Demand'!A15</f>
        <v>19000</v>
      </c>
      <c r="S12" s="35">
        <f>'Observed Demand'!C15</f>
        <v>0.15625</v>
      </c>
    </row>
    <row r="13" spans="1:21" ht="16.5" customHeight="1" x14ac:dyDescent="0.3">
      <c r="A13" s="64">
        <v>8</v>
      </c>
      <c r="B13" s="61">
        <v>68</v>
      </c>
      <c r="C13" s="62">
        <f t="shared" si="0"/>
        <v>132</v>
      </c>
      <c r="D13" s="63">
        <f t="shared" si="2"/>
        <v>0.27472527472527475</v>
      </c>
      <c r="E13" s="64" t="e">
        <f t="shared" si="3"/>
        <v>#VALUE!</v>
      </c>
      <c r="F13" s="54" t="e">
        <f t="shared" si="4"/>
        <v>#VALUE!</v>
      </c>
      <c r="G13" s="54" t="e">
        <f t="shared" si="5"/>
        <v>#VALUE!</v>
      </c>
      <c r="H13" s="55" t="e">
        <f t="shared" si="1"/>
        <v>#VALUE!</v>
      </c>
      <c r="J13" s="51"/>
      <c r="M13" s="6" t="s">
        <v>8</v>
      </c>
      <c r="N13" s="22">
        <f>B6</f>
        <v>61</v>
      </c>
    </row>
    <row r="14" spans="1:21" x14ac:dyDescent="0.3">
      <c r="A14" s="64">
        <v>9</v>
      </c>
      <c r="B14" s="61">
        <v>69</v>
      </c>
      <c r="C14" s="62">
        <f t="shared" si="0"/>
        <v>131</v>
      </c>
      <c r="D14" s="63">
        <f t="shared" si="2"/>
        <v>0.27624309392265195</v>
      </c>
      <c r="E14" s="64" t="e">
        <f t="shared" si="3"/>
        <v>#VALUE!</v>
      </c>
      <c r="F14" s="54" t="e">
        <f t="shared" si="4"/>
        <v>#VALUE!</v>
      </c>
      <c r="G14" s="54" t="e">
        <f t="shared" si="5"/>
        <v>#VALUE!</v>
      </c>
      <c r="H14" s="55" t="e">
        <f t="shared" si="1"/>
        <v>#VALUE!</v>
      </c>
      <c r="J14" s="51"/>
      <c r="M14" s="6" t="s">
        <v>47</v>
      </c>
      <c r="N14" s="6" t="e">
        <f>E6</f>
        <v>#VALUE!</v>
      </c>
    </row>
    <row r="15" spans="1:21" ht="18.75" customHeight="1" x14ac:dyDescent="0.3">
      <c r="A15" s="64">
        <v>10</v>
      </c>
      <c r="B15" s="61">
        <v>70</v>
      </c>
      <c r="C15" s="62">
        <f t="shared" si="0"/>
        <v>130</v>
      </c>
      <c r="D15" s="63">
        <f t="shared" si="2"/>
        <v>0.27777777777777779</v>
      </c>
      <c r="E15" s="64" t="e">
        <f t="shared" si="3"/>
        <v>#VALUE!</v>
      </c>
      <c r="F15" s="54" t="e">
        <f t="shared" si="4"/>
        <v>#VALUE!</v>
      </c>
      <c r="G15" s="54" t="e">
        <f t="shared" si="5"/>
        <v>#VALUE!</v>
      </c>
      <c r="H15" s="55" t="e">
        <f t="shared" si="1"/>
        <v>#VALUE!</v>
      </c>
      <c r="J15" s="51"/>
      <c r="M15" s="8" t="s">
        <v>54</v>
      </c>
      <c r="N15" s="8" t="s">
        <v>4</v>
      </c>
      <c r="O15" s="8" t="s">
        <v>5</v>
      </c>
      <c r="P15" s="21" t="s">
        <v>32</v>
      </c>
      <c r="Q15" s="21" t="s">
        <v>33</v>
      </c>
      <c r="R15" s="21" t="s">
        <v>34</v>
      </c>
      <c r="S15" s="8" t="s">
        <v>2</v>
      </c>
      <c r="T15" s="8" t="s">
        <v>3</v>
      </c>
      <c r="U15" s="8" t="s">
        <v>7</v>
      </c>
    </row>
    <row r="16" spans="1:21" x14ac:dyDescent="0.3">
      <c r="A16" s="64">
        <v>11</v>
      </c>
      <c r="B16" s="61">
        <v>71</v>
      </c>
      <c r="C16" s="62">
        <f t="shared" si="0"/>
        <v>129</v>
      </c>
      <c r="D16" s="63">
        <f t="shared" si="2"/>
        <v>0.27932960893854747</v>
      </c>
      <c r="E16" s="64" t="e">
        <f t="shared" si="3"/>
        <v>#VALUE!</v>
      </c>
      <c r="F16" s="54" t="e">
        <f t="shared" si="4"/>
        <v>#VALUE!</v>
      </c>
      <c r="G16" s="54" t="e">
        <f t="shared" si="5"/>
        <v>#VALUE!</v>
      </c>
      <c r="H16" s="55" t="e">
        <f t="shared" si="1"/>
        <v>#VALUE!</v>
      </c>
      <c r="J16" s="51"/>
      <c r="M16" s="6">
        <v>1</v>
      </c>
      <c r="N16" s="6">
        <f>'Buy Back Contract'!R2</f>
        <v>9000</v>
      </c>
      <c r="O16" s="12">
        <f t="shared" ref="O16:O26" si="6">S2</f>
        <v>0.25</v>
      </c>
      <c r="P16" s="6" t="e">
        <f t="shared" ref="P16:P26" si="7">$N$14</f>
        <v>#VALUE!</v>
      </c>
      <c r="Q16" s="22" t="e">
        <f>IF(N16&lt;=P16, N16*$N$2, P16*$N$2)</f>
        <v>#VALUE!</v>
      </c>
      <c r="R16" s="23" t="e">
        <f t="shared" ref="R16:R26" si="8">IF(P16&gt;=N16, (P16-N16)*$N$13, 0)</f>
        <v>#VALUE!</v>
      </c>
      <c r="S16" s="22" t="e">
        <f>P16*$N$3</f>
        <v>#VALUE!</v>
      </c>
      <c r="T16" s="22" t="e">
        <f>(Q16+R16) - S16</f>
        <v>#VALUE!</v>
      </c>
      <c r="U16" s="22" t="e">
        <f t="shared" ref="U16:U26" si="9">T16*O16</f>
        <v>#VALUE!</v>
      </c>
    </row>
    <row r="17" spans="1:21" x14ac:dyDescent="0.3">
      <c r="A17" s="86">
        <v>12</v>
      </c>
      <c r="B17" s="87">
        <v>72</v>
      </c>
      <c r="C17" s="88">
        <f t="shared" si="0"/>
        <v>128</v>
      </c>
      <c r="D17" s="89">
        <f t="shared" si="2"/>
        <v>0.2808988764044944</v>
      </c>
      <c r="E17" s="64" t="e">
        <f t="shared" si="3"/>
        <v>#VALUE!</v>
      </c>
      <c r="F17" s="70" t="e">
        <f t="shared" si="4"/>
        <v>#VALUE!</v>
      </c>
      <c r="G17" s="70" t="e">
        <f t="shared" si="5"/>
        <v>#VALUE!</v>
      </c>
      <c r="H17" s="72" t="e">
        <f t="shared" si="1"/>
        <v>#VALUE!</v>
      </c>
      <c r="J17" s="51"/>
      <c r="M17" s="6">
        <v>2</v>
      </c>
      <c r="N17" s="6">
        <f>'Buy Back Contract'!R3</f>
        <v>10000</v>
      </c>
      <c r="O17" s="12">
        <f t="shared" si="6"/>
        <v>3.125E-2</v>
      </c>
      <c r="P17" s="6" t="e">
        <f t="shared" si="7"/>
        <v>#VALUE!</v>
      </c>
      <c r="Q17" s="22" t="e">
        <f t="shared" ref="Q17:Q26" si="10">IF(N17&lt;=P17, N17*$N$2, P17*$N$2)</f>
        <v>#VALUE!</v>
      </c>
      <c r="R17" s="23" t="e">
        <f t="shared" si="8"/>
        <v>#VALUE!</v>
      </c>
      <c r="S17" s="22" t="e">
        <f t="shared" ref="S17:S26" si="11">P17*$N$3</f>
        <v>#VALUE!</v>
      </c>
      <c r="T17" s="22" t="e">
        <f t="shared" ref="T17:T26" si="12">(Q17+R17) - S17</f>
        <v>#VALUE!</v>
      </c>
      <c r="U17" s="22" t="e">
        <f t="shared" si="9"/>
        <v>#VALUE!</v>
      </c>
    </row>
    <row r="18" spans="1:21" x14ac:dyDescent="0.3">
      <c r="A18" s="64">
        <v>13</v>
      </c>
      <c r="B18" s="61">
        <v>73</v>
      </c>
      <c r="C18" s="62">
        <f t="shared" si="0"/>
        <v>127</v>
      </c>
      <c r="D18" s="63">
        <f t="shared" si="2"/>
        <v>0.2824858757062147</v>
      </c>
      <c r="E18" s="64" t="e">
        <f t="shared" si="3"/>
        <v>#VALUE!</v>
      </c>
      <c r="F18" s="54" t="e">
        <f t="shared" si="4"/>
        <v>#VALUE!</v>
      </c>
      <c r="G18" s="54" t="e">
        <f t="shared" si="5"/>
        <v>#VALUE!</v>
      </c>
      <c r="H18" s="55" t="e">
        <f t="shared" si="1"/>
        <v>#VALUE!</v>
      </c>
      <c r="J18" s="51"/>
      <c r="M18" s="6">
        <v>3</v>
      </c>
      <c r="N18" s="6">
        <f>'Buy Back Contract'!R4</f>
        <v>11000</v>
      </c>
      <c r="O18" s="12">
        <f t="shared" si="6"/>
        <v>9.375E-2</v>
      </c>
      <c r="P18" s="6" t="e">
        <f t="shared" si="7"/>
        <v>#VALUE!</v>
      </c>
      <c r="Q18" s="22" t="e">
        <f t="shared" si="10"/>
        <v>#VALUE!</v>
      </c>
      <c r="R18" s="23" t="e">
        <f t="shared" si="8"/>
        <v>#VALUE!</v>
      </c>
      <c r="S18" s="22" t="e">
        <f t="shared" si="11"/>
        <v>#VALUE!</v>
      </c>
      <c r="T18" s="22" t="e">
        <f t="shared" si="12"/>
        <v>#VALUE!</v>
      </c>
      <c r="U18" s="22" t="e">
        <f t="shared" si="9"/>
        <v>#VALUE!</v>
      </c>
    </row>
    <row r="19" spans="1:21" ht="15" customHeight="1" x14ac:dyDescent="0.3">
      <c r="A19" s="64">
        <v>14</v>
      </c>
      <c r="B19" s="61">
        <v>74</v>
      </c>
      <c r="C19" s="62">
        <f t="shared" si="0"/>
        <v>126</v>
      </c>
      <c r="D19" s="63">
        <f t="shared" si="2"/>
        <v>0.28409090909090912</v>
      </c>
      <c r="E19" s="64" t="e">
        <f t="shared" si="3"/>
        <v>#VALUE!</v>
      </c>
      <c r="F19" s="54" t="e">
        <f t="shared" si="4"/>
        <v>#VALUE!</v>
      </c>
      <c r="G19" s="54" t="e">
        <f t="shared" si="5"/>
        <v>#VALUE!</v>
      </c>
      <c r="H19" s="55" t="e">
        <f t="shared" si="1"/>
        <v>#VALUE!</v>
      </c>
      <c r="J19" s="51"/>
      <c r="M19" s="6">
        <v>4</v>
      </c>
      <c r="N19" s="6">
        <f>'Buy Back Contract'!R5</f>
        <v>12000</v>
      </c>
      <c r="O19" s="12">
        <f t="shared" si="6"/>
        <v>9.375E-2</v>
      </c>
      <c r="P19" s="6" t="e">
        <f t="shared" si="7"/>
        <v>#VALUE!</v>
      </c>
      <c r="Q19" s="22" t="e">
        <f t="shared" si="10"/>
        <v>#VALUE!</v>
      </c>
      <c r="R19" s="23" t="e">
        <f t="shared" si="8"/>
        <v>#VALUE!</v>
      </c>
      <c r="S19" s="22" t="e">
        <f t="shared" si="11"/>
        <v>#VALUE!</v>
      </c>
      <c r="T19" s="22" t="e">
        <f t="shared" si="12"/>
        <v>#VALUE!</v>
      </c>
      <c r="U19" s="22" t="e">
        <f t="shared" si="9"/>
        <v>#VALUE!</v>
      </c>
    </row>
    <row r="20" spans="1:21" x14ac:dyDescent="0.3">
      <c r="A20" s="64">
        <v>15</v>
      </c>
      <c r="B20" s="61">
        <v>75</v>
      </c>
      <c r="C20" s="62">
        <f t="shared" si="0"/>
        <v>125</v>
      </c>
      <c r="D20" s="63">
        <f t="shared" si="2"/>
        <v>0.2857142857142857</v>
      </c>
      <c r="E20" s="64" t="e">
        <f t="shared" si="3"/>
        <v>#VALUE!</v>
      </c>
      <c r="F20" s="54" t="e">
        <f t="shared" si="4"/>
        <v>#VALUE!</v>
      </c>
      <c r="G20" s="54" t="e">
        <f t="shared" si="5"/>
        <v>#VALUE!</v>
      </c>
      <c r="H20" s="55" t="e">
        <f t="shared" si="1"/>
        <v>#VALUE!</v>
      </c>
      <c r="J20" s="51"/>
      <c r="M20" s="6">
        <v>5</v>
      </c>
      <c r="N20" s="6">
        <f>'Buy Back Contract'!R6</f>
        <v>13000</v>
      </c>
      <c r="O20" s="12">
        <f t="shared" si="6"/>
        <v>3.125E-2</v>
      </c>
      <c r="P20" s="6" t="e">
        <f t="shared" si="7"/>
        <v>#VALUE!</v>
      </c>
      <c r="Q20" s="22" t="e">
        <f t="shared" si="10"/>
        <v>#VALUE!</v>
      </c>
      <c r="R20" s="23" t="e">
        <f t="shared" si="8"/>
        <v>#VALUE!</v>
      </c>
      <c r="S20" s="22" t="e">
        <f t="shared" si="11"/>
        <v>#VALUE!</v>
      </c>
      <c r="T20" s="22" t="e">
        <f t="shared" si="12"/>
        <v>#VALUE!</v>
      </c>
      <c r="U20" s="22" t="e">
        <f t="shared" si="9"/>
        <v>#VALUE!</v>
      </c>
    </row>
    <row r="21" spans="1:21" x14ac:dyDescent="0.3">
      <c r="A21" s="64">
        <v>16</v>
      </c>
      <c r="B21" s="61">
        <v>76</v>
      </c>
      <c r="C21" s="62">
        <f t="shared" si="0"/>
        <v>124</v>
      </c>
      <c r="D21" s="63">
        <f t="shared" si="2"/>
        <v>0.28735632183908044</v>
      </c>
      <c r="E21" s="64" t="e">
        <f t="shared" si="3"/>
        <v>#VALUE!</v>
      </c>
      <c r="F21" s="54" t="e">
        <f t="shared" si="4"/>
        <v>#VALUE!</v>
      </c>
      <c r="G21" s="54" t="e">
        <f t="shared" ref="G21:G85" si="13">SkiEkz(E21,B21)</f>
        <v>#VALUE!</v>
      </c>
      <c r="H21" s="55" t="e">
        <f t="shared" si="1"/>
        <v>#VALUE!</v>
      </c>
      <c r="J21" s="51"/>
      <c r="M21" s="6">
        <v>6</v>
      </c>
      <c r="N21" s="6">
        <f>'Buy Back Contract'!R7</f>
        <v>14000</v>
      </c>
      <c r="O21" s="12">
        <f t="shared" si="6"/>
        <v>3.125E-2</v>
      </c>
      <c r="P21" s="6" t="e">
        <f t="shared" si="7"/>
        <v>#VALUE!</v>
      </c>
      <c r="Q21" s="22" t="e">
        <f t="shared" si="10"/>
        <v>#VALUE!</v>
      </c>
      <c r="R21" s="23" t="e">
        <f t="shared" si="8"/>
        <v>#VALUE!</v>
      </c>
      <c r="S21" s="22" t="e">
        <f t="shared" si="11"/>
        <v>#VALUE!</v>
      </c>
      <c r="T21" s="22" t="e">
        <f t="shared" si="12"/>
        <v>#VALUE!</v>
      </c>
      <c r="U21" s="22" t="e">
        <f t="shared" si="9"/>
        <v>#VALUE!</v>
      </c>
    </row>
    <row r="22" spans="1:21" x14ac:dyDescent="0.3">
      <c r="A22" s="64">
        <v>17</v>
      </c>
      <c r="B22" s="61">
        <v>77</v>
      </c>
      <c r="C22" s="62">
        <f t="shared" si="0"/>
        <v>123</v>
      </c>
      <c r="D22" s="63">
        <f t="shared" si="2"/>
        <v>0.28901734104046245</v>
      </c>
      <c r="E22" s="64" t="e">
        <f t="shared" si="3"/>
        <v>#VALUE!</v>
      </c>
      <c r="F22" s="54" t="e">
        <f t="shared" si="4"/>
        <v>#VALUE!</v>
      </c>
      <c r="G22" s="54" t="e">
        <f t="shared" si="13"/>
        <v>#VALUE!</v>
      </c>
      <c r="H22" s="55" t="e">
        <f t="shared" si="1"/>
        <v>#VALUE!</v>
      </c>
      <c r="J22" s="51"/>
      <c r="M22" s="6">
        <v>7</v>
      </c>
      <c r="N22" s="6">
        <f>'Buy Back Contract'!R8</f>
        <v>15000</v>
      </c>
      <c r="O22" s="12">
        <f t="shared" si="6"/>
        <v>6.25E-2</v>
      </c>
      <c r="P22" s="6" t="e">
        <f t="shared" si="7"/>
        <v>#VALUE!</v>
      </c>
      <c r="Q22" s="22" t="e">
        <f t="shared" si="10"/>
        <v>#VALUE!</v>
      </c>
      <c r="R22" s="23" t="e">
        <f t="shared" si="8"/>
        <v>#VALUE!</v>
      </c>
      <c r="S22" s="22" t="e">
        <f t="shared" si="11"/>
        <v>#VALUE!</v>
      </c>
      <c r="T22" s="22" t="e">
        <f t="shared" si="12"/>
        <v>#VALUE!</v>
      </c>
      <c r="U22" s="22" t="e">
        <f t="shared" si="9"/>
        <v>#VALUE!</v>
      </c>
    </row>
    <row r="23" spans="1:21" x14ac:dyDescent="0.3">
      <c r="A23" s="64">
        <v>18</v>
      </c>
      <c r="B23" s="61">
        <v>78</v>
      </c>
      <c r="C23" s="62">
        <f t="shared" si="0"/>
        <v>122</v>
      </c>
      <c r="D23" s="63">
        <f t="shared" si="2"/>
        <v>0.29069767441860467</v>
      </c>
      <c r="E23" s="64" t="e">
        <f t="shared" si="3"/>
        <v>#VALUE!</v>
      </c>
      <c r="F23" s="54" t="e">
        <f t="shared" si="4"/>
        <v>#VALUE!</v>
      </c>
      <c r="G23" s="54" t="e">
        <f t="shared" si="13"/>
        <v>#VALUE!</v>
      </c>
      <c r="H23" s="55" t="e">
        <f t="shared" si="1"/>
        <v>#VALUE!</v>
      </c>
      <c r="J23" s="51"/>
      <c r="M23" s="6">
        <v>8</v>
      </c>
      <c r="N23" s="6">
        <f>'Buy Back Contract'!R9</f>
        <v>16000</v>
      </c>
      <c r="O23" s="12">
        <f t="shared" si="6"/>
        <v>3.125E-2</v>
      </c>
      <c r="P23" s="6" t="e">
        <f t="shared" si="7"/>
        <v>#VALUE!</v>
      </c>
      <c r="Q23" s="22" t="e">
        <f t="shared" si="10"/>
        <v>#VALUE!</v>
      </c>
      <c r="R23" s="23" t="e">
        <f t="shared" si="8"/>
        <v>#VALUE!</v>
      </c>
      <c r="S23" s="22" t="e">
        <f t="shared" si="11"/>
        <v>#VALUE!</v>
      </c>
      <c r="T23" s="22" t="e">
        <f t="shared" si="12"/>
        <v>#VALUE!</v>
      </c>
      <c r="U23" s="22" t="e">
        <f t="shared" si="9"/>
        <v>#VALUE!</v>
      </c>
    </row>
    <row r="24" spans="1:21" x14ac:dyDescent="0.3">
      <c r="A24" s="64">
        <v>19</v>
      </c>
      <c r="B24" s="61">
        <v>79</v>
      </c>
      <c r="C24" s="62">
        <f t="shared" si="0"/>
        <v>121</v>
      </c>
      <c r="D24" s="63">
        <f t="shared" si="2"/>
        <v>0.29239766081871343</v>
      </c>
      <c r="E24" s="64" t="e">
        <f t="shared" si="3"/>
        <v>#VALUE!</v>
      </c>
      <c r="F24" s="54" t="e">
        <f t="shared" si="4"/>
        <v>#VALUE!</v>
      </c>
      <c r="G24" s="54" t="e">
        <f t="shared" si="13"/>
        <v>#VALUE!</v>
      </c>
      <c r="H24" s="55" t="e">
        <f t="shared" si="1"/>
        <v>#VALUE!</v>
      </c>
      <c r="J24" s="51"/>
      <c r="M24" s="6">
        <v>9</v>
      </c>
      <c r="N24" s="6">
        <f>'Buy Back Contract'!R10</f>
        <v>17000</v>
      </c>
      <c r="O24" s="12">
        <f t="shared" si="6"/>
        <v>6.25E-2</v>
      </c>
      <c r="P24" s="6" t="e">
        <f t="shared" si="7"/>
        <v>#VALUE!</v>
      </c>
      <c r="Q24" s="22" t="e">
        <f t="shared" si="10"/>
        <v>#VALUE!</v>
      </c>
      <c r="R24" s="23" t="e">
        <f t="shared" si="8"/>
        <v>#VALUE!</v>
      </c>
      <c r="S24" s="22" t="e">
        <f t="shared" si="11"/>
        <v>#VALUE!</v>
      </c>
      <c r="T24" s="22" t="e">
        <f t="shared" si="12"/>
        <v>#VALUE!</v>
      </c>
      <c r="U24" s="22" t="e">
        <f t="shared" si="9"/>
        <v>#VALUE!</v>
      </c>
    </row>
    <row r="25" spans="1:21" x14ac:dyDescent="0.3">
      <c r="A25" s="64">
        <v>20</v>
      </c>
      <c r="B25" s="61">
        <v>80</v>
      </c>
      <c r="C25" s="62">
        <f t="shared" si="0"/>
        <v>120</v>
      </c>
      <c r="D25" s="63">
        <f t="shared" si="2"/>
        <v>0.29411764705882354</v>
      </c>
      <c r="E25" s="64" t="e">
        <f t="shared" si="3"/>
        <v>#VALUE!</v>
      </c>
      <c r="F25" s="54" t="e">
        <f t="shared" si="4"/>
        <v>#VALUE!</v>
      </c>
      <c r="G25" s="54" t="e">
        <f t="shared" si="13"/>
        <v>#VALUE!</v>
      </c>
      <c r="H25" s="55" t="e">
        <f t="shared" si="1"/>
        <v>#VALUE!</v>
      </c>
      <c r="J25" s="51"/>
      <c r="M25" s="6">
        <v>10</v>
      </c>
      <c r="N25" s="6">
        <f>'Buy Back Contract'!R11</f>
        <v>18000</v>
      </c>
      <c r="O25" s="12">
        <f t="shared" si="6"/>
        <v>0.15625</v>
      </c>
      <c r="P25" s="6" t="e">
        <f t="shared" si="7"/>
        <v>#VALUE!</v>
      </c>
      <c r="Q25" s="22" t="e">
        <f t="shared" si="10"/>
        <v>#VALUE!</v>
      </c>
      <c r="R25" s="23" t="e">
        <f t="shared" si="8"/>
        <v>#VALUE!</v>
      </c>
      <c r="S25" s="22" t="e">
        <f t="shared" si="11"/>
        <v>#VALUE!</v>
      </c>
      <c r="T25" s="22" t="e">
        <f t="shared" si="12"/>
        <v>#VALUE!</v>
      </c>
      <c r="U25" s="22" t="e">
        <f t="shared" si="9"/>
        <v>#VALUE!</v>
      </c>
    </row>
    <row r="26" spans="1:21" ht="16.5" customHeight="1" x14ac:dyDescent="0.3">
      <c r="A26" s="64">
        <v>21</v>
      </c>
      <c r="B26" s="61">
        <v>81</v>
      </c>
      <c r="C26" s="62">
        <f t="shared" si="0"/>
        <v>119</v>
      </c>
      <c r="D26" s="63">
        <f t="shared" si="2"/>
        <v>0.29585798816568049</v>
      </c>
      <c r="E26" s="64" t="e">
        <f t="shared" si="3"/>
        <v>#VALUE!</v>
      </c>
      <c r="F26" s="54" t="e">
        <f t="shared" si="4"/>
        <v>#VALUE!</v>
      </c>
      <c r="G26" s="54" t="e">
        <f t="shared" si="13"/>
        <v>#VALUE!</v>
      </c>
      <c r="H26" s="55" t="e">
        <f t="shared" si="1"/>
        <v>#VALUE!</v>
      </c>
      <c r="J26" s="51"/>
      <c r="M26" s="6">
        <v>11</v>
      </c>
      <c r="N26" s="6">
        <f>'Buy Back Contract'!R12</f>
        <v>19000</v>
      </c>
      <c r="O26" s="12">
        <f t="shared" si="6"/>
        <v>0.15625</v>
      </c>
      <c r="P26" s="6" t="e">
        <f t="shared" si="7"/>
        <v>#VALUE!</v>
      </c>
      <c r="Q26" s="22" t="e">
        <f t="shared" si="10"/>
        <v>#VALUE!</v>
      </c>
      <c r="R26" s="23" t="e">
        <f t="shared" si="8"/>
        <v>#VALUE!</v>
      </c>
      <c r="S26" s="22" t="e">
        <f t="shared" si="11"/>
        <v>#VALUE!</v>
      </c>
      <c r="T26" s="22" t="e">
        <f t="shared" si="12"/>
        <v>#VALUE!</v>
      </c>
      <c r="U26" s="22" t="e">
        <f t="shared" si="9"/>
        <v>#VALUE!</v>
      </c>
    </row>
    <row r="27" spans="1:21" x14ac:dyDescent="0.3">
      <c r="A27" s="64">
        <v>22</v>
      </c>
      <c r="B27" s="61">
        <v>82</v>
      </c>
      <c r="C27" s="62">
        <f t="shared" si="0"/>
        <v>118</v>
      </c>
      <c r="D27" s="63">
        <f t="shared" si="2"/>
        <v>0.29761904761904762</v>
      </c>
      <c r="E27" s="64" t="e">
        <f t="shared" si="3"/>
        <v>#VALUE!</v>
      </c>
      <c r="F27" s="54" t="e">
        <f t="shared" si="4"/>
        <v>#VALUE!</v>
      </c>
      <c r="G27" s="54" t="e">
        <f t="shared" si="13"/>
        <v>#VALUE!</v>
      </c>
      <c r="H27" s="55" t="e">
        <f t="shared" si="1"/>
        <v>#VALUE!</v>
      </c>
      <c r="J27" s="51"/>
      <c r="M27" s="135" t="s">
        <v>38</v>
      </c>
      <c r="N27" s="136"/>
      <c r="O27" s="136"/>
      <c r="P27" s="136"/>
      <c r="Q27" s="136"/>
      <c r="R27" s="136"/>
      <c r="S27" s="136"/>
      <c r="T27" s="137"/>
      <c r="U27" s="24" t="e">
        <f>SUM(U16:U26)</f>
        <v>#VALUE!</v>
      </c>
    </row>
    <row r="28" spans="1:21" x14ac:dyDescent="0.3">
      <c r="A28" s="64">
        <v>23</v>
      </c>
      <c r="B28" s="61">
        <v>83</v>
      </c>
      <c r="C28" s="62">
        <f t="shared" si="0"/>
        <v>117</v>
      </c>
      <c r="D28" s="63">
        <f t="shared" si="2"/>
        <v>0.29940119760479039</v>
      </c>
      <c r="E28" s="64" t="e">
        <f t="shared" si="3"/>
        <v>#VALUE!</v>
      </c>
      <c r="F28" s="54" t="e">
        <f t="shared" si="4"/>
        <v>#VALUE!</v>
      </c>
      <c r="G28" s="54" t="e">
        <f t="shared" si="13"/>
        <v>#VALUE!</v>
      </c>
      <c r="H28" s="55" t="e">
        <f t="shared" si="1"/>
        <v>#VALUE!</v>
      </c>
      <c r="J28" s="51"/>
    </row>
    <row r="29" spans="1:21" x14ac:dyDescent="0.3">
      <c r="A29" s="64">
        <v>24</v>
      </c>
      <c r="B29" s="61">
        <v>84</v>
      </c>
      <c r="C29" s="62">
        <f t="shared" si="0"/>
        <v>116</v>
      </c>
      <c r="D29" s="63">
        <f t="shared" si="2"/>
        <v>0.30120481927710846</v>
      </c>
      <c r="E29" s="64" t="e">
        <f t="shared" si="3"/>
        <v>#VALUE!</v>
      </c>
      <c r="F29" s="54" t="e">
        <f t="shared" si="4"/>
        <v>#VALUE!</v>
      </c>
      <c r="G29" s="54" t="e">
        <f>SkiEkz(E29,B29)</f>
        <v>#VALUE!</v>
      </c>
      <c r="H29" s="55" t="e">
        <f t="shared" si="1"/>
        <v>#VALUE!</v>
      </c>
      <c r="J29" s="51"/>
      <c r="M29" s="2" t="s">
        <v>36</v>
      </c>
    </row>
    <row r="30" spans="1:21" x14ac:dyDescent="0.3">
      <c r="A30" s="64">
        <v>25</v>
      </c>
      <c r="B30" s="61">
        <v>85</v>
      </c>
      <c r="C30" s="62">
        <f t="shared" si="0"/>
        <v>115</v>
      </c>
      <c r="D30" s="63">
        <f t="shared" si="2"/>
        <v>0.30303030303030304</v>
      </c>
      <c r="E30" s="64" t="e">
        <f t="shared" si="3"/>
        <v>#VALUE!</v>
      </c>
      <c r="F30" s="54" t="e">
        <f t="shared" si="4"/>
        <v>#VALUE!</v>
      </c>
      <c r="G30" s="54" t="e">
        <f t="shared" si="13"/>
        <v>#VALUE!</v>
      </c>
      <c r="H30" s="55" t="e">
        <f t="shared" si="1"/>
        <v>#VALUE!</v>
      </c>
      <c r="J30" s="51"/>
    </row>
    <row r="31" spans="1:21" x14ac:dyDescent="0.3">
      <c r="A31" s="64">
        <v>26</v>
      </c>
      <c r="B31" s="61">
        <v>86</v>
      </c>
      <c r="C31" s="62">
        <f t="shared" si="0"/>
        <v>114</v>
      </c>
      <c r="D31" s="63">
        <f t="shared" si="2"/>
        <v>0.3048780487804878</v>
      </c>
      <c r="E31" s="64" t="e">
        <f t="shared" si="3"/>
        <v>#VALUE!</v>
      </c>
      <c r="F31" s="54" t="e">
        <f t="shared" si="4"/>
        <v>#VALUE!</v>
      </c>
      <c r="G31" s="54" t="e">
        <f t="shared" si="13"/>
        <v>#VALUE!</v>
      </c>
      <c r="H31" s="55" t="e">
        <f t="shared" si="1"/>
        <v>#VALUE!</v>
      </c>
      <c r="J31" s="51"/>
      <c r="M31" s="4" t="s">
        <v>6</v>
      </c>
      <c r="N31" s="5">
        <f>'Data From Case'!E2</f>
        <v>200</v>
      </c>
    </row>
    <row r="32" spans="1:21" x14ac:dyDescent="0.3">
      <c r="A32" s="64">
        <v>27</v>
      </c>
      <c r="B32" s="61">
        <v>87</v>
      </c>
      <c r="C32" s="62">
        <f t="shared" si="0"/>
        <v>113</v>
      </c>
      <c r="D32" s="63">
        <f t="shared" si="2"/>
        <v>0.30674846625766872</v>
      </c>
      <c r="E32" s="64" t="e">
        <f t="shared" si="3"/>
        <v>#VALUE!</v>
      </c>
      <c r="F32" s="54" t="e">
        <f t="shared" si="4"/>
        <v>#VALUE!</v>
      </c>
      <c r="G32" s="54" t="e">
        <f t="shared" si="13"/>
        <v>#VALUE!</v>
      </c>
      <c r="H32" s="55" t="e">
        <f t="shared" si="1"/>
        <v>#VALUE!</v>
      </c>
      <c r="J32" s="51"/>
      <c r="M32" s="8" t="s">
        <v>35</v>
      </c>
      <c r="N32" s="5">
        <f>'Data From Case'!E3</f>
        <v>140</v>
      </c>
    </row>
    <row r="33" spans="1:22" x14ac:dyDescent="0.3">
      <c r="A33" s="64">
        <v>28</v>
      </c>
      <c r="B33" s="61">
        <v>88</v>
      </c>
      <c r="C33" s="62">
        <f t="shared" si="0"/>
        <v>112</v>
      </c>
      <c r="D33" s="63">
        <f t="shared" si="2"/>
        <v>0.30864197530864196</v>
      </c>
      <c r="E33" s="64" t="e">
        <f t="shared" si="3"/>
        <v>#VALUE!</v>
      </c>
      <c r="F33" s="54" t="e">
        <f t="shared" si="4"/>
        <v>#VALUE!</v>
      </c>
      <c r="G33" s="54" t="e">
        <f t="shared" si="13"/>
        <v>#VALUE!</v>
      </c>
      <c r="H33" s="55" t="e">
        <f t="shared" si="1"/>
        <v>#VALUE!</v>
      </c>
      <c r="J33" s="51"/>
      <c r="M33" s="8" t="s">
        <v>10</v>
      </c>
      <c r="N33" s="5">
        <f>'Data From Case'!E4</f>
        <v>70000</v>
      </c>
    </row>
    <row r="34" spans="1:22" x14ac:dyDescent="0.3">
      <c r="A34" s="64">
        <v>29</v>
      </c>
      <c r="B34" s="61">
        <v>89</v>
      </c>
      <c r="C34" s="62">
        <f t="shared" si="0"/>
        <v>111</v>
      </c>
      <c r="D34" s="63">
        <f t="shared" si="2"/>
        <v>0.3105590062111801</v>
      </c>
      <c r="E34" s="64" t="e">
        <f t="shared" si="3"/>
        <v>#VALUE!</v>
      </c>
      <c r="F34" s="54" t="e">
        <f t="shared" si="4"/>
        <v>#VALUE!</v>
      </c>
      <c r="G34" s="54" t="e">
        <f t="shared" si="13"/>
        <v>#VALUE!</v>
      </c>
      <c r="H34" s="55" t="e">
        <f t="shared" si="1"/>
        <v>#VALUE!</v>
      </c>
      <c r="J34" s="51"/>
    </row>
    <row r="35" spans="1:22" ht="17.25" customHeight="1" x14ac:dyDescent="0.3">
      <c r="A35" s="64">
        <v>30</v>
      </c>
      <c r="B35" s="61">
        <v>90</v>
      </c>
      <c r="C35" s="62">
        <f t="shared" si="0"/>
        <v>110</v>
      </c>
      <c r="D35" s="63">
        <f t="shared" si="2"/>
        <v>0.3125</v>
      </c>
      <c r="E35" s="64" t="e">
        <f t="shared" si="3"/>
        <v>#VALUE!</v>
      </c>
      <c r="F35" s="54" t="e">
        <f t="shared" si="4"/>
        <v>#VALUE!</v>
      </c>
      <c r="G35" s="54" t="e">
        <f t="shared" si="13"/>
        <v>#VALUE!</v>
      </c>
      <c r="H35" s="55" t="e">
        <f t="shared" si="1"/>
        <v>#VALUE!</v>
      </c>
      <c r="J35" s="51"/>
      <c r="M35" s="8" t="s">
        <v>0</v>
      </c>
      <c r="N35" s="8" t="s">
        <v>4</v>
      </c>
      <c r="O35" s="8" t="s">
        <v>5</v>
      </c>
      <c r="P35" s="21" t="s">
        <v>32</v>
      </c>
      <c r="Q35" s="21" t="s">
        <v>33</v>
      </c>
      <c r="R35" s="21" t="s">
        <v>39</v>
      </c>
      <c r="S35" s="8" t="s">
        <v>55</v>
      </c>
      <c r="T35" s="21" t="s">
        <v>40</v>
      </c>
      <c r="U35" s="8" t="s">
        <v>3</v>
      </c>
      <c r="V35" s="8" t="s">
        <v>7</v>
      </c>
    </row>
    <row r="36" spans="1:22" x14ac:dyDescent="0.3">
      <c r="A36" s="64">
        <v>31</v>
      </c>
      <c r="B36" s="61">
        <v>91</v>
      </c>
      <c r="C36" s="62">
        <f t="shared" si="0"/>
        <v>109</v>
      </c>
      <c r="D36" s="63">
        <f t="shared" si="2"/>
        <v>0.31446540880503143</v>
      </c>
      <c r="E36" s="64" t="e">
        <f t="shared" si="3"/>
        <v>#VALUE!</v>
      </c>
      <c r="F36" s="54" t="e">
        <f t="shared" si="4"/>
        <v>#VALUE!</v>
      </c>
      <c r="G36" s="54" t="e">
        <f t="shared" si="13"/>
        <v>#VALUE!</v>
      </c>
      <c r="H36" s="55" t="e">
        <f t="shared" si="1"/>
        <v>#VALUE!</v>
      </c>
      <c r="J36" s="51"/>
      <c r="M36" s="6">
        <v>1</v>
      </c>
      <c r="N36" s="6">
        <f>'Observed Demand'!A5</f>
        <v>9000</v>
      </c>
      <c r="O36" s="12">
        <f>'Observed Demand'!C5</f>
        <v>0.25</v>
      </c>
      <c r="P36" s="6" t="e">
        <f>$N$14</f>
        <v>#VALUE!</v>
      </c>
      <c r="Q36" s="22" t="e">
        <f>P36*$N$31</f>
        <v>#VALUE!</v>
      </c>
      <c r="R36" s="23" t="e">
        <f>P36*$N$32</f>
        <v>#VALUE!</v>
      </c>
      <c r="S36" s="23" t="e">
        <f>IF(N36&lt;=P36, (P36-N36)*$N$13, 0)</f>
        <v>#VALUE!</v>
      </c>
      <c r="T36" s="22">
        <f>$N$33</f>
        <v>70000</v>
      </c>
      <c r="U36" s="22" t="e">
        <f>(Q36) - (R36+S36+T36)</f>
        <v>#VALUE!</v>
      </c>
      <c r="V36" s="22" t="e">
        <f>U36*O36</f>
        <v>#VALUE!</v>
      </c>
    </row>
    <row r="37" spans="1:22" x14ac:dyDescent="0.3">
      <c r="A37" s="64">
        <v>32</v>
      </c>
      <c r="B37" s="61">
        <v>92</v>
      </c>
      <c r="C37" s="62">
        <f t="shared" si="0"/>
        <v>108</v>
      </c>
      <c r="D37" s="63">
        <f t="shared" si="2"/>
        <v>0.31645569620253167</v>
      </c>
      <c r="E37" s="64" t="e">
        <f t="shared" si="3"/>
        <v>#VALUE!</v>
      </c>
      <c r="F37" s="54" t="e">
        <f t="shared" si="4"/>
        <v>#VALUE!</v>
      </c>
      <c r="G37" s="54" t="e">
        <f t="shared" si="13"/>
        <v>#VALUE!</v>
      </c>
      <c r="H37" s="55" t="e">
        <f t="shared" si="1"/>
        <v>#VALUE!</v>
      </c>
      <c r="J37" s="51"/>
      <c r="M37" s="6">
        <v>2</v>
      </c>
      <c r="N37" s="6">
        <f>'Observed Demand'!A6</f>
        <v>10000</v>
      </c>
      <c r="O37" s="12">
        <f>'Observed Demand'!C6</f>
        <v>3.125E-2</v>
      </c>
      <c r="P37" s="6" t="e">
        <f t="shared" ref="P37:P46" si="14">$N$14</f>
        <v>#VALUE!</v>
      </c>
      <c r="Q37" s="22" t="e">
        <f t="shared" ref="Q37:Q46" si="15">P37*$N$31</f>
        <v>#VALUE!</v>
      </c>
      <c r="R37" s="23" t="e">
        <f t="shared" ref="R37:R46" si="16">P37*$N$32</f>
        <v>#VALUE!</v>
      </c>
      <c r="S37" s="23" t="e">
        <f t="shared" ref="S37:S46" si="17">IF(N37&lt;=P37, (P37-N37)*$N$13, 0)</f>
        <v>#VALUE!</v>
      </c>
      <c r="T37" s="22">
        <f t="shared" ref="T37:T46" si="18">$N$33</f>
        <v>70000</v>
      </c>
      <c r="U37" s="22" t="e">
        <f t="shared" ref="U37:U46" si="19">(Q37) - (R37+S37+T37)</f>
        <v>#VALUE!</v>
      </c>
      <c r="V37" s="22" t="e">
        <f t="shared" ref="V37:V46" si="20">U37*O37</f>
        <v>#VALUE!</v>
      </c>
    </row>
    <row r="38" spans="1:22" x14ac:dyDescent="0.3">
      <c r="A38" s="64">
        <v>33</v>
      </c>
      <c r="B38" s="61">
        <v>93</v>
      </c>
      <c r="C38" s="62">
        <f t="shared" si="0"/>
        <v>107</v>
      </c>
      <c r="D38" s="63">
        <f t="shared" si="2"/>
        <v>0.31847133757961782</v>
      </c>
      <c r="E38" s="64" t="e">
        <f t="shared" si="3"/>
        <v>#VALUE!</v>
      </c>
      <c r="F38" s="54" t="e">
        <f t="shared" si="4"/>
        <v>#VALUE!</v>
      </c>
      <c r="G38" s="54" t="e">
        <f t="shared" si="13"/>
        <v>#VALUE!</v>
      </c>
      <c r="H38" s="55" t="e">
        <f t="shared" si="1"/>
        <v>#VALUE!</v>
      </c>
      <c r="J38" s="51"/>
      <c r="M38" s="6">
        <v>3</v>
      </c>
      <c r="N38" s="6">
        <f>'Observed Demand'!A7</f>
        <v>11000</v>
      </c>
      <c r="O38" s="12">
        <f>'Observed Demand'!C7</f>
        <v>9.375E-2</v>
      </c>
      <c r="P38" s="6" t="e">
        <f t="shared" si="14"/>
        <v>#VALUE!</v>
      </c>
      <c r="Q38" s="22" t="e">
        <f t="shared" si="15"/>
        <v>#VALUE!</v>
      </c>
      <c r="R38" s="23" t="e">
        <f t="shared" si="16"/>
        <v>#VALUE!</v>
      </c>
      <c r="S38" s="23" t="e">
        <f t="shared" si="17"/>
        <v>#VALUE!</v>
      </c>
      <c r="T38" s="22">
        <f t="shared" si="18"/>
        <v>70000</v>
      </c>
      <c r="U38" s="22" t="e">
        <f t="shared" si="19"/>
        <v>#VALUE!</v>
      </c>
      <c r="V38" s="22" t="e">
        <f t="shared" si="20"/>
        <v>#VALUE!</v>
      </c>
    </row>
    <row r="39" spans="1:22" x14ac:dyDescent="0.3">
      <c r="A39" s="64">
        <v>34</v>
      </c>
      <c r="B39" s="61">
        <v>94</v>
      </c>
      <c r="C39" s="62">
        <f t="shared" si="0"/>
        <v>106</v>
      </c>
      <c r="D39" s="63">
        <f t="shared" si="2"/>
        <v>0.32051282051282054</v>
      </c>
      <c r="E39" s="64" t="e">
        <f t="shared" si="3"/>
        <v>#VALUE!</v>
      </c>
      <c r="F39" s="54" t="e">
        <f t="shared" si="4"/>
        <v>#VALUE!</v>
      </c>
      <c r="G39" s="54" t="e">
        <f t="shared" si="13"/>
        <v>#VALUE!</v>
      </c>
      <c r="H39" s="55" t="e">
        <f t="shared" si="1"/>
        <v>#VALUE!</v>
      </c>
      <c r="J39" s="51"/>
      <c r="M39" s="6">
        <v>4</v>
      </c>
      <c r="N39" s="6">
        <f>'Observed Demand'!A8</f>
        <v>12000</v>
      </c>
      <c r="O39" s="12">
        <f>'Observed Demand'!C8</f>
        <v>9.375E-2</v>
      </c>
      <c r="P39" s="6" t="e">
        <f t="shared" si="14"/>
        <v>#VALUE!</v>
      </c>
      <c r="Q39" s="22" t="e">
        <f t="shared" si="15"/>
        <v>#VALUE!</v>
      </c>
      <c r="R39" s="23" t="e">
        <f t="shared" si="16"/>
        <v>#VALUE!</v>
      </c>
      <c r="S39" s="23" t="e">
        <f t="shared" si="17"/>
        <v>#VALUE!</v>
      </c>
      <c r="T39" s="22">
        <f t="shared" si="18"/>
        <v>70000</v>
      </c>
      <c r="U39" s="22" t="e">
        <f t="shared" si="19"/>
        <v>#VALUE!</v>
      </c>
      <c r="V39" s="22" t="e">
        <f t="shared" si="20"/>
        <v>#VALUE!</v>
      </c>
    </row>
    <row r="40" spans="1:22" x14ac:dyDescent="0.3">
      <c r="A40" s="64">
        <v>35</v>
      </c>
      <c r="B40" s="61">
        <v>95</v>
      </c>
      <c r="C40" s="62">
        <f t="shared" ref="C40:C94" si="21">$N$3-B40</f>
        <v>105</v>
      </c>
      <c r="D40" s="63">
        <f t="shared" si="2"/>
        <v>0.32258064516129031</v>
      </c>
      <c r="E40" s="64" t="e">
        <f t="shared" si="3"/>
        <v>#VALUE!</v>
      </c>
      <c r="F40" s="54" t="e">
        <f t="shared" si="4"/>
        <v>#VALUE!</v>
      </c>
      <c r="G40" s="54" t="e">
        <f t="shared" si="13"/>
        <v>#VALUE!</v>
      </c>
      <c r="H40" s="55" t="e">
        <f t="shared" ref="H40:H94" si="22">SUM(F40:G40)</f>
        <v>#VALUE!</v>
      </c>
      <c r="J40" s="51"/>
      <c r="M40" s="6">
        <v>5</v>
      </c>
      <c r="N40" s="6">
        <f>'Observed Demand'!A9</f>
        <v>13000</v>
      </c>
      <c r="O40" s="12">
        <f>'Observed Demand'!C9</f>
        <v>3.125E-2</v>
      </c>
      <c r="P40" s="6" t="e">
        <f t="shared" si="14"/>
        <v>#VALUE!</v>
      </c>
      <c r="Q40" s="22" t="e">
        <f t="shared" si="15"/>
        <v>#VALUE!</v>
      </c>
      <c r="R40" s="23" t="e">
        <f t="shared" si="16"/>
        <v>#VALUE!</v>
      </c>
      <c r="S40" s="23" t="e">
        <f t="shared" si="17"/>
        <v>#VALUE!</v>
      </c>
      <c r="T40" s="22">
        <f t="shared" si="18"/>
        <v>70000</v>
      </c>
      <c r="U40" s="22" t="e">
        <f t="shared" si="19"/>
        <v>#VALUE!</v>
      </c>
      <c r="V40" s="22" t="e">
        <f t="shared" si="20"/>
        <v>#VALUE!</v>
      </c>
    </row>
    <row r="41" spans="1:22" x14ac:dyDescent="0.3">
      <c r="A41" s="64">
        <v>36</v>
      </c>
      <c r="B41" s="61">
        <v>96</v>
      </c>
      <c r="C41" s="62">
        <f t="shared" si="21"/>
        <v>104</v>
      </c>
      <c r="D41" s="63">
        <f t="shared" si="2"/>
        <v>0.32467532467532467</v>
      </c>
      <c r="E41" s="64" t="e">
        <f t="shared" si="3"/>
        <v>#VALUE!</v>
      </c>
      <c r="F41" s="54" t="e">
        <f t="shared" si="4"/>
        <v>#VALUE!</v>
      </c>
      <c r="G41" s="54" t="e">
        <f t="shared" si="13"/>
        <v>#VALUE!</v>
      </c>
      <c r="H41" s="55" t="e">
        <f t="shared" si="22"/>
        <v>#VALUE!</v>
      </c>
      <c r="J41" s="51"/>
      <c r="M41" s="6">
        <v>6</v>
      </c>
      <c r="N41" s="6">
        <f>'Observed Demand'!A10</f>
        <v>14000</v>
      </c>
      <c r="O41" s="12">
        <f>'Observed Demand'!C10</f>
        <v>3.125E-2</v>
      </c>
      <c r="P41" s="6" t="e">
        <f t="shared" si="14"/>
        <v>#VALUE!</v>
      </c>
      <c r="Q41" s="22" t="e">
        <f t="shared" si="15"/>
        <v>#VALUE!</v>
      </c>
      <c r="R41" s="23" t="e">
        <f t="shared" si="16"/>
        <v>#VALUE!</v>
      </c>
      <c r="S41" s="23" t="e">
        <f t="shared" si="17"/>
        <v>#VALUE!</v>
      </c>
      <c r="T41" s="22">
        <f t="shared" si="18"/>
        <v>70000</v>
      </c>
      <c r="U41" s="22" t="e">
        <f t="shared" si="19"/>
        <v>#VALUE!</v>
      </c>
      <c r="V41" s="22" t="e">
        <f t="shared" si="20"/>
        <v>#VALUE!</v>
      </c>
    </row>
    <row r="42" spans="1:22" x14ac:dyDescent="0.3">
      <c r="A42" s="64">
        <v>37</v>
      </c>
      <c r="B42" s="61">
        <v>97</v>
      </c>
      <c r="C42" s="62">
        <f t="shared" si="21"/>
        <v>103</v>
      </c>
      <c r="D42" s="63">
        <f t="shared" si="2"/>
        <v>0.32679738562091504</v>
      </c>
      <c r="E42" s="64" t="e">
        <f t="shared" si="3"/>
        <v>#VALUE!</v>
      </c>
      <c r="F42" s="54" t="e">
        <f t="shared" si="4"/>
        <v>#VALUE!</v>
      </c>
      <c r="G42" s="54" t="e">
        <f t="shared" si="13"/>
        <v>#VALUE!</v>
      </c>
      <c r="H42" s="55" t="e">
        <f t="shared" si="22"/>
        <v>#VALUE!</v>
      </c>
      <c r="J42" s="51"/>
      <c r="M42" s="6">
        <v>7</v>
      </c>
      <c r="N42" s="6">
        <f>'Observed Demand'!A11</f>
        <v>15000</v>
      </c>
      <c r="O42" s="12">
        <f>'Observed Demand'!C11</f>
        <v>6.25E-2</v>
      </c>
      <c r="P42" s="6" t="e">
        <f t="shared" si="14"/>
        <v>#VALUE!</v>
      </c>
      <c r="Q42" s="22" t="e">
        <f t="shared" si="15"/>
        <v>#VALUE!</v>
      </c>
      <c r="R42" s="23" t="e">
        <f t="shared" si="16"/>
        <v>#VALUE!</v>
      </c>
      <c r="S42" s="23" t="e">
        <f t="shared" si="17"/>
        <v>#VALUE!</v>
      </c>
      <c r="T42" s="22">
        <f t="shared" si="18"/>
        <v>70000</v>
      </c>
      <c r="U42" s="22" t="e">
        <f t="shared" si="19"/>
        <v>#VALUE!</v>
      </c>
      <c r="V42" s="22" t="e">
        <f t="shared" si="20"/>
        <v>#VALUE!</v>
      </c>
    </row>
    <row r="43" spans="1:22" x14ac:dyDescent="0.3">
      <c r="A43" s="64">
        <v>38</v>
      </c>
      <c r="B43" s="61">
        <v>98</v>
      </c>
      <c r="C43" s="62">
        <f t="shared" si="21"/>
        <v>102</v>
      </c>
      <c r="D43" s="63">
        <f t="shared" si="2"/>
        <v>0.32894736842105265</v>
      </c>
      <c r="E43" s="64" t="e">
        <f t="shared" si="3"/>
        <v>#VALUE!</v>
      </c>
      <c r="F43" s="54" t="e">
        <f t="shared" si="4"/>
        <v>#VALUE!</v>
      </c>
      <c r="G43" s="54" t="e">
        <f t="shared" si="13"/>
        <v>#VALUE!</v>
      </c>
      <c r="H43" s="55" t="e">
        <f t="shared" si="22"/>
        <v>#VALUE!</v>
      </c>
      <c r="J43" s="51"/>
      <c r="M43" s="6">
        <v>8</v>
      </c>
      <c r="N43" s="6">
        <f>'Observed Demand'!A12</f>
        <v>16000</v>
      </c>
      <c r="O43" s="12">
        <f>'Observed Demand'!C12</f>
        <v>3.125E-2</v>
      </c>
      <c r="P43" s="6" t="e">
        <f t="shared" si="14"/>
        <v>#VALUE!</v>
      </c>
      <c r="Q43" s="22" t="e">
        <f t="shared" si="15"/>
        <v>#VALUE!</v>
      </c>
      <c r="R43" s="23" t="e">
        <f t="shared" si="16"/>
        <v>#VALUE!</v>
      </c>
      <c r="S43" s="23" t="e">
        <f t="shared" si="17"/>
        <v>#VALUE!</v>
      </c>
      <c r="T43" s="22">
        <f t="shared" si="18"/>
        <v>70000</v>
      </c>
      <c r="U43" s="22" t="e">
        <f t="shared" si="19"/>
        <v>#VALUE!</v>
      </c>
      <c r="V43" s="22" t="e">
        <f t="shared" si="20"/>
        <v>#VALUE!</v>
      </c>
    </row>
    <row r="44" spans="1:22" x14ac:dyDescent="0.3">
      <c r="A44" s="64">
        <v>39</v>
      </c>
      <c r="B44" s="61">
        <v>99</v>
      </c>
      <c r="C44" s="62">
        <f t="shared" si="21"/>
        <v>101</v>
      </c>
      <c r="D44" s="63">
        <f t="shared" si="2"/>
        <v>0.33112582781456956</v>
      </c>
      <c r="E44" s="64" t="e">
        <f t="shared" si="3"/>
        <v>#VALUE!</v>
      </c>
      <c r="F44" s="54" t="e">
        <f t="shared" si="4"/>
        <v>#VALUE!</v>
      </c>
      <c r="G44" s="54" t="e">
        <f t="shared" si="13"/>
        <v>#VALUE!</v>
      </c>
      <c r="H44" s="55" t="e">
        <f t="shared" si="22"/>
        <v>#VALUE!</v>
      </c>
      <c r="J44" s="51"/>
      <c r="M44" s="6">
        <v>9</v>
      </c>
      <c r="N44" s="6">
        <f>'Observed Demand'!A13</f>
        <v>17000</v>
      </c>
      <c r="O44" s="12">
        <f>'Observed Demand'!C13</f>
        <v>6.25E-2</v>
      </c>
      <c r="P44" s="6" t="e">
        <f t="shared" si="14"/>
        <v>#VALUE!</v>
      </c>
      <c r="Q44" s="22" t="e">
        <f t="shared" si="15"/>
        <v>#VALUE!</v>
      </c>
      <c r="R44" s="23" t="e">
        <f t="shared" si="16"/>
        <v>#VALUE!</v>
      </c>
      <c r="S44" s="23" t="e">
        <f t="shared" si="17"/>
        <v>#VALUE!</v>
      </c>
      <c r="T44" s="22">
        <f t="shared" si="18"/>
        <v>70000</v>
      </c>
      <c r="U44" s="22" t="e">
        <f t="shared" si="19"/>
        <v>#VALUE!</v>
      </c>
      <c r="V44" s="22" t="e">
        <f t="shared" si="20"/>
        <v>#VALUE!</v>
      </c>
    </row>
    <row r="45" spans="1:22" x14ac:dyDescent="0.3">
      <c r="A45" s="64">
        <v>40</v>
      </c>
      <c r="B45" s="61">
        <v>100</v>
      </c>
      <c r="C45" s="62">
        <f t="shared" si="21"/>
        <v>100</v>
      </c>
      <c r="D45" s="63">
        <f t="shared" si="2"/>
        <v>0.33333333333333331</v>
      </c>
      <c r="E45" s="64" t="e">
        <f t="shared" si="3"/>
        <v>#VALUE!</v>
      </c>
      <c r="F45" s="54" t="e">
        <f t="shared" si="4"/>
        <v>#VALUE!</v>
      </c>
      <c r="G45" s="54" t="e">
        <f t="shared" si="13"/>
        <v>#VALUE!</v>
      </c>
      <c r="H45" s="55" t="e">
        <f t="shared" si="22"/>
        <v>#VALUE!</v>
      </c>
      <c r="J45" s="51"/>
      <c r="M45" s="6">
        <v>10</v>
      </c>
      <c r="N45" s="6">
        <f>'Observed Demand'!A14</f>
        <v>18000</v>
      </c>
      <c r="O45" s="12">
        <f>'Observed Demand'!C14</f>
        <v>0.15625</v>
      </c>
      <c r="P45" s="6" t="e">
        <f t="shared" si="14"/>
        <v>#VALUE!</v>
      </c>
      <c r="Q45" s="22" t="e">
        <f t="shared" si="15"/>
        <v>#VALUE!</v>
      </c>
      <c r="R45" s="23" t="e">
        <f t="shared" si="16"/>
        <v>#VALUE!</v>
      </c>
      <c r="S45" s="23" t="e">
        <f t="shared" si="17"/>
        <v>#VALUE!</v>
      </c>
      <c r="T45" s="22">
        <f t="shared" si="18"/>
        <v>70000</v>
      </c>
      <c r="U45" s="22" t="e">
        <f t="shared" si="19"/>
        <v>#VALUE!</v>
      </c>
      <c r="V45" s="22" t="e">
        <f t="shared" si="20"/>
        <v>#VALUE!</v>
      </c>
    </row>
    <row r="46" spans="1:22" x14ac:dyDescent="0.3">
      <c r="A46" s="64">
        <v>41</v>
      </c>
      <c r="B46" s="61">
        <v>101</v>
      </c>
      <c r="C46" s="62">
        <f t="shared" si="21"/>
        <v>99</v>
      </c>
      <c r="D46" s="63">
        <f t="shared" si="2"/>
        <v>0.33557046979865773</v>
      </c>
      <c r="E46" s="64" t="e">
        <f t="shared" si="3"/>
        <v>#VALUE!</v>
      </c>
      <c r="F46" s="54" t="e">
        <f t="shared" si="4"/>
        <v>#VALUE!</v>
      </c>
      <c r="G46" s="54" t="e">
        <f t="shared" si="13"/>
        <v>#VALUE!</v>
      </c>
      <c r="H46" s="55" t="e">
        <f t="shared" si="22"/>
        <v>#VALUE!</v>
      </c>
      <c r="J46" s="51"/>
      <c r="M46" s="6">
        <v>11</v>
      </c>
      <c r="N46" s="6">
        <f>'Observed Demand'!A15</f>
        <v>19000</v>
      </c>
      <c r="O46" s="12">
        <f>'Observed Demand'!C15</f>
        <v>0.15625</v>
      </c>
      <c r="P46" s="6" t="e">
        <f t="shared" si="14"/>
        <v>#VALUE!</v>
      </c>
      <c r="Q46" s="22" t="e">
        <f t="shared" si="15"/>
        <v>#VALUE!</v>
      </c>
      <c r="R46" s="23" t="e">
        <f t="shared" si="16"/>
        <v>#VALUE!</v>
      </c>
      <c r="S46" s="23" t="e">
        <f t="shared" si="17"/>
        <v>#VALUE!</v>
      </c>
      <c r="T46" s="22">
        <f t="shared" si="18"/>
        <v>70000</v>
      </c>
      <c r="U46" s="22" t="e">
        <f t="shared" si="19"/>
        <v>#VALUE!</v>
      </c>
      <c r="V46" s="22" t="e">
        <f t="shared" si="20"/>
        <v>#VALUE!</v>
      </c>
    </row>
    <row r="47" spans="1:22" x14ac:dyDescent="0.3">
      <c r="A47" s="64">
        <v>42</v>
      </c>
      <c r="B47" s="61">
        <v>102</v>
      </c>
      <c r="C47" s="62">
        <f t="shared" si="21"/>
        <v>98</v>
      </c>
      <c r="D47" s="63">
        <f t="shared" si="2"/>
        <v>0.33783783783783783</v>
      </c>
      <c r="E47" s="64" t="e">
        <f t="shared" si="3"/>
        <v>#VALUE!</v>
      </c>
      <c r="F47" s="54" t="e">
        <f t="shared" si="4"/>
        <v>#VALUE!</v>
      </c>
      <c r="G47" s="54" t="e">
        <f t="shared" si="13"/>
        <v>#VALUE!</v>
      </c>
      <c r="H47" s="55" t="e">
        <f t="shared" si="22"/>
        <v>#VALUE!</v>
      </c>
      <c r="J47" s="51"/>
      <c r="M47" s="135" t="s">
        <v>41</v>
      </c>
      <c r="N47" s="136"/>
      <c r="O47" s="136"/>
      <c r="P47" s="136"/>
      <c r="Q47" s="136"/>
      <c r="R47" s="136"/>
      <c r="S47" s="136"/>
      <c r="T47" s="137"/>
      <c r="U47" s="145" t="e">
        <f>SUM(V36:V46)</f>
        <v>#VALUE!</v>
      </c>
      <c r="V47" s="145"/>
    </row>
    <row r="48" spans="1:22" x14ac:dyDescent="0.3">
      <c r="A48" s="64">
        <v>43</v>
      </c>
      <c r="B48" s="61">
        <v>103</v>
      </c>
      <c r="C48" s="62">
        <f t="shared" si="21"/>
        <v>97</v>
      </c>
      <c r="D48" s="63">
        <f t="shared" si="2"/>
        <v>0.3401360544217687</v>
      </c>
      <c r="E48" s="64" t="e">
        <f t="shared" si="3"/>
        <v>#VALUE!</v>
      </c>
      <c r="F48" s="54" t="e">
        <f t="shared" si="4"/>
        <v>#VALUE!</v>
      </c>
      <c r="G48" s="54" t="e">
        <f t="shared" si="13"/>
        <v>#VALUE!</v>
      </c>
      <c r="H48" s="55" t="e">
        <f t="shared" si="22"/>
        <v>#VALUE!</v>
      </c>
      <c r="J48" s="51"/>
    </row>
    <row r="49" spans="1:10" x14ac:dyDescent="0.3">
      <c r="A49" s="64">
        <v>44</v>
      </c>
      <c r="B49" s="61">
        <v>104</v>
      </c>
      <c r="C49" s="62">
        <f t="shared" si="21"/>
        <v>96</v>
      </c>
      <c r="D49" s="63">
        <f t="shared" si="2"/>
        <v>0.34246575342465752</v>
      </c>
      <c r="E49" s="64" t="e">
        <f t="shared" si="3"/>
        <v>#VALUE!</v>
      </c>
      <c r="F49" s="54" t="e">
        <f t="shared" si="4"/>
        <v>#VALUE!</v>
      </c>
      <c r="G49" s="54" t="e">
        <f t="shared" si="13"/>
        <v>#VALUE!</v>
      </c>
      <c r="H49" s="55" t="e">
        <f t="shared" si="22"/>
        <v>#VALUE!</v>
      </c>
      <c r="J49" s="51"/>
    </row>
    <row r="50" spans="1:10" x14ac:dyDescent="0.3">
      <c r="A50" s="64">
        <v>45</v>
      </c>
      <c r="B50" s="61">
        <v>105</v>
      </c>
      <c r="C50" s="62">
        <f t="shared" si="21"/>
        <v>95</v>
      </c>
      <c r="D50" s="63">
        <f t="shared" si="2"/>
        <v>0.34482758620689657</v>
      </c>
      <c r="E50" s="64" t="e">
        <f t="shared" si="3"/>
        <v>#VALUE!</v>
      </c>
      <c r="F50" s="54" t="e">
        <f t="shared" si="4"/>
        <v>#VALUE!</v>
      </c>
      <c r="G50" s="54" t="e">
        <f t="shared" si="13"/>
        <v>#VALUE!</v>
      </c>
      <c r="H50" s="55" t="e">
        <f t="shared" si="22"/>
        <v>#VALUE!</v>
      </c>
      <c r="J50" s="51"/>
    </row>
    <row r="51" spans="1:10" x14ac:dyDescent="0.3">
      <c r="A51" s="64">
        <v>46</v>
      </c>
      <c r="B51" s="61">
        <v>106</v>
      </c>
      <c r="C51" s="62">
        <f t="shared" si="21"/>
        <v>94</v>
      </c>
      <c r="D51" s="63">
        <f t="shared" si="2"/>
        <v>0.34722222222222221</v>
      </c>
      <c r="E51" s="64" t="e">
        <f t="shared" si="3"/>
        <v>#VALUE!</v>
      </c>
      <c r="F51" s="54" t="e">
        <f t="shared" si="4"/>
        <v>#VALUE!</v>
      </c>
      <c r="G51" s="54" t="e">
        <f t="shared" si="13"/>
        <v>#VALUE!</v>
      </c>
      <c r="H51" s="55" t="e">
        <f t="shared" si="22"/>
        <v>#VALUE!</v>
      </c>
      <c r="J51" s="51"/>
    </row>
    <row r="52" spans="1:10" x14ac:dyDescent="0.3">
      <c r="A52" s="64">
        <v>47</v>
      </c>
      <c r="B52" s="61">
        <v>107</v>
      </c>
      <c r="C52" s="62">
        <f t="shared" si="21"/>
        <v>93</v>
      </c>
      <c r="D52" s="63">
        <f t="shared" si="2"/>
        <v>0.34965034965034963</v>
      </c>
      <c r="E52" s="64" t="e">
        <f t="shared" si="3"/>
        <v>#VALUE!</v>
      </c>
      <c r="F52" s="54" t="e">
        <f t="shared" si="4"/>
        <v>#VALUE!</v>
      </c>
      <c r="G52" s="54" t="e">
        <f t="shared" si="13"/>
        <v>#VALUE!</v>
      </c>
      <c r="H52" s="55" t="e">
        <f t="shared" si="22"/>
        <v>#VALUE!</v>
      </c>
      <c r="J52" s="51"/>
    </row>
    <row r="53" spans="1:10" x14ac:dyDescent="0.3">
      <c r="A53" s="64">
        <v>48</v>
      </c>
      <c r="B53" s="61">
        <v>108</v>
      </c>
      <c r="C53" s="62">
        <f t="shared" si="21"/>
        <v>92</v>
      </c>
      <c r="D53" s="63">
        <f t="shared" si="2"/>
        <v>0.352112676056338</v>
      </c>
      <c r="E53" s="64" t="e">
        <f t="shared" si="3"/>
        <v>#VALUE!</v>
      </c>
      <c r="F53" s="54" t="e">
        <f t="shared" si="4"/>
        <v>#VALUE!</v>
      </c>
      <c r="G53" s="54" t="e">
        <f t="shared" si="13"/>
        <v>#VALUE!</v>
      </c>
      <c r="H53" s="55" t="e">
        <f t="shared" si="22"/>
        <v>#VALUE!</v>
      </c>
      <c r="J53" s="51"/>
    </row>
    <row r="54" spans="1:10" x14ac:dyDescent="0.3">
      <c r="A54" s="64">
        <v>49</v>
      </c>
      <c r="B54" s="61">
        <v>109</v>
      </c>
      <c r="C54" s="62">
        <f t="shared" si="21"/>
        <v>91</v>
      </c>
      <c r="D54" s="63">
        <f t="shared" si="2"/>
        <v>0.3546099290780142</v>
      </c>
      <c r="E54" s="64" t="e">
        <f t="shared" si="3"/>
        <v>#VALUE!</v>
      </c>
      <c r="F54" s="54" t="e">
        <f t="shared" si="4"/>
        <v>#VALUE!</v>
      </c>
      <c r="G54" s="54" t="e">
        <f t="shared" si="13"/>
        <v>#VALUE!</v>
      </c>
      <c r="H54" s="55" t="e">
        <f t="shared" si="22"/>
        <v>#VALUE!</v>
      </c>
      <c r="J54" s="51"/>
    </row>
    <row r="55" spans="1:10" x14ac:dyDescent="0.3">
      <c r="A55" s="64">
        <v>50</v>
      </c>
      <c r="B55" s="61">
        <v>110</v>
      </c>
      <c r="C55" s="62">
        <f t="shared" si="21"/>
        <v>90</v>
      </c>
      <c r="D55" s="63">
        <f t="shared" si="2"/>
        <v>0.35714285714285715</v>
      </c>
      <c r="E55" s="64" t="e">
        <f t="shared" si="3"/>
        <v>#VALUE!</v>
      </c>
      <c r="F55" s="54" t="e">
        <f t="shared" si="4"/>
        <v>#VALUE!</v>
      </c>
      <c r="G55" s="54" t="e">
        <f t="shared" si="13"/>
        <v>#VALUE!</v>
      </c>
      <c r="H55" s="55" t="e">
        <f t="shared" si="22"/>
        <v>#VALUE!</v>
      </c>
      <c r="J55" s="51"/>
    </row>
    <row r="56" spans="1:10" x14ac:dyDescent="0.3">
      <c r="A56" s="64">
        <v>51</v>
      </c>
      <c r="B56" s="61">
        <v>111</v>
      </c>
      <c r="C56" s="62">
        <f t="shared" si="21"/>
        <v>89</v>
      </c>
      <c r="D56" s="63">
        <f t="shared" si="2"/>
        <v>0.35971223021582732</v>
      </c>
      <c r="E56" s="64" t="e">
        <f t="shared" si="3"/>
        <v>#VALUE!</v>
      </c>
      <c r="F56" s="54" t="e">
        <f t="shared" si="4"/>
        <v>#VALUE!</v>
      </c>
      <c r="G56" s="54" t="e">
        <f t="shared" si="13"/>
        <v>#VALUE!</v>
      </c>
      <c r="H56" s="55" t="e">
        <f t="shared" si="22"/>
        <v>#VALUE!</v>
      </c>
      <c r="J56" s="51"/>
    </row>
    <row r="57" spans="1:10" x14ac:dyDescent="0.3">
      <c r="A57" s="64">
        <v>52</v>
      </c>
      <c r="B57" s="61">
        <v>112</v>
      </c>
      <c r="C57" s="62">
        <f t="shared" si="21"/>
        <v>88</v>
      </c>
      <c r="D57" s="63">
        <f t="shared" si="2"/>
        <v>0.36231884057971014</v>
      </c>
      <c r="E57" s="64" t="e">
        <f t="shared" si="3"/>
        <v>#VALUE!</v>
      </c>
      <c r="F57" s="54" t="e">
        <f t="shared" si="4"/>
        <v>#VALUE!</v>
      </c>
      <c r="G57" s="54" t="e">
        <f t="shared" si="13"/>
        <v>#VALUE!</v>
      </c>
      <c r="H57" s="55" t="e">
        <f t="shared" si="22"/>
        <v>#VALUE!</v>
      </c>
      <c r="J57" s="51"/>
    </row>
    <row r="58" spans="1:10" x14ac:dyDescent="0.3">
      <c r="A58" s="90">
        <v>53</v>
      </c>
      <c r="B58" s="91">
        <v>113</v>
      </c>
      <c r="C58" s="92">
        <f t="shared" si="21"/>
        <v>87</v>
      </c>
      <c r="D58" s="93">
        <f t="shared" si="2"/>
        <v>0.36496350364963503</v>
      </c>
      <c r="E58" s="64" t="e">
        <f t="shared" si="3"/>
        <v>#VALUE!</v>
      </c>
      <c r="F58" s="71" t="e">
        <f t="shared" si="4"/>
        <v>#VALUE!</v>
      </c>
      <c r="G58" s="71" t="e">
        <f t="shared" si="13"/>
        <v>#VALUE!</v>
      </c>
      <c r="H58" s="73" t="e">
        <f t="shared" si="22"/>
        <v>#VALUE!</v>
      </c>
      <c r="J58" s="51"/>
    </row>
    <row r="59" spans="1:10" x14ac:dyDescent="0.3">
      <c r="A59" s="64">
        <v>54</v>
      </c>
      <c r="B59" s="61">
        <v>114</v>
      </c>
      <c r="C59" s="62">
        <f t="shared" si="21"/>
        <v>86</v>
      </c>
      <c r="D59" s="63">
        <f t="shared" si="2"/>
        <v>0.36764705882352944</v>
      </c>
      <c r="E59" s="64" t="e">
        <f t="shared" si="3"/>
        <v>#VALUE!</v>
      </c>
      <c r="F59" s="54" t="e">
        <f t="shared" si="4"/>
        <v>#VALUE!</v>
      </c>
      <c r="G59" s="54" t="e">
        <f t="shared" si="13"/>
        <v>#VALUE!</v>
      </c>
      <c r="H59" s="55" t="e">
        <f t="shared" si="22"/>
        <v>#VALUE!</v>
      </c>
      <c r="J59" s="51"/>
    </row>
    <row r="60" spans="1:10" x14ac:dyDescent="0.3">
      <c r="A60" s="64">
        <v>55</v>
      </c>
      <c r="B60" s="61">
        <v>115</v>
      </c>
      <c r="C60" s="62">
        <f t="shared" si="21"/>
        <v>85</v>
      </c>
      <c r="D60" s="63">
        <f t="shared" si="2"/>
        <v>0.37037037037037035</v>
      </c>
      <c r="E60" s="64" t="e">
        <f t="shared" si="3"/>
        <v>#VALUE!</v>
      </c>
      <c r="F60" s="54" t="e">
        <f t="shared" si="4"/>
        <v>#VALUE!</v>
      </c>
      <c r="G60" s="54" t="e">
        <f t="shared" si="13"/>
        <v>#VALUE!</v>
      </c>
      <c r="H60" s="55" t="e">
        <f t="shared" si="22"/>
        <v>#VALUE!</v>
      </c>
    </row>
    <row r="61" spans="1:10" ht="17.25" thickBot="1" x14ac:dyDescent="0.35">
      <c r="A61" s="86">
        <v>56</v>
      </c>
      <c r="B61" s="87">
        <v>116</v>
      </c>
      <c r="C61" s="88">
        <f t="shared" si="21"/>
        <v>84</v>
      </c>
      <c r="D61" s="89">
        <f t="shared" si="2"/>
        <v>0.37313432835820898</v>
      </c>
      <c r="E61" s="86" t="e">
        <f t="shared" si="3"/>
        <v>#VALUE!</v>
      </c>
      <c r="F61" s="70" t="e">
        <f t="shared" si="4"/>
        <v>#VALUE!</v>
      </c>
      <c r="G61" s="70" t="e">
        <f t="shared" si="13"/>
        <v>#VALUE!</v>
      </c>
      <c r="H61" s="72" t="e">
        <f t="shared" si="22"/>
        <v>#VALUE!</v>
      </c>
    </row>
    <row r="62" spans="1:10" x14ac:dyDescent="0.3">
      <c r="A62" s="98">
        <v>57</v>
      </c>
      <c r="B62" s="101">
        <v>117</v>
      </c>
      <c r="C62" s="74">
        <f t="shared" si="21"/>
        <v>83</v>
      </c>
      <c r="D62" s="75">
        <f t="shared" si="2"/>
        <v>0.37593984962406013</v>
      </c>
      <c r="E62" s="102" t="e">
        <f t="shared" si="3"/>
        <v>#VALUE!</v>
      </c>
      <c r="F62" s="76" t="e">
        <f t="shared" si="4"/>
        <v>#VALUE!</v>
      </c>
      <c r="G62" s="76" t="e">
        <f t="shared" si="13"/>
        <v>#VALUE!</v>
      </c>
      <c r="H62" s="77" t="e">
        <f t="shared" si="22"/>
        <v>#VALUE!</v>
      </c>
      <c r="J62" s="149" t="s">
        <v>57</v>
      </c>
    </row>
    <row r="63" spans="1:10" x14ac:dyDescent="0.3">
      <c r="A63" s="99">
        <v>58</v>
      </c>
      <c r="B63" s="103">
        <v>118</v>
      </c>
      <c r="C63" s="78">
        <f t="shared" si="21"/>
        <v>82</v>
      </c>
      <c r="D63" s="79">
        <f t="shared" si="2"/>
        <v>0.37878787878787878</v>
      </c>
      <c r="E63" s="97" t="e">
        <f t="shared" si="3"/>
        <v>#VALUE!</v>
      </c>
      <c r="F63" s="80" t="e">
        <f t="shared" si="4"/>
        <v>#VALUE!</v>
      </c>
      <c r="G63" s="80" t="e">
        <f t="shared" si="13"/>
        <v>#VALUE!</v>
      </c>
      <c r="H63" s="81" t="e">
        <f t="shared" si="22"/>
        <v>#VALUE!</v>
      </c>
      <c r="J63" s="150"/>
    </row>
    <row r="64" spans="1:10" x14ac:dyDescent="0.3">
      <c r="A64" s="99">
        <v>59</v>
      </c>
      <c r="B64" s="103">
        <v>119</v>
      </c>
      <c r="C64" s="78">
        <f t="shared" si="21"/>
        <v>81</v>
      </c>
      <c r="D64" s="79">
        <f t="shared" si="2"/>
        <v>0.38167938931297712</v>
      </c>
      <c r="E64" s="97" t="e">
        <f t="shared" si="3"/>
        <v>#VALUE!</v>
      </c>
      <c r="F64" s="80" t="e">
        <f t="shared" si="4"/>
        <v>#VALUE!</v>
      </c>
      <c r="G64" s="80" t="e">
        <f t="shared" si="13"/>
        <v>#VALUE!</v>
      </c>
      <c r="H64" s="81" t="e">
        <f t="shared" si="22"/>
        <v>#VALUE!</v>
      </c>
      <c r="J64" s="150"/>
    </row>
    <row r="65" spans="1:10" x14ac:dyDescent="0.3">
      <c r="A65" s="99">
        <v>60</v>
      </c>
      <c r="B65" s="103">
        <v>120</v>
      </c>
      <c r="C65" s="78">
        <f t="shared" si="21"/>
        <v>80</v>
      </c>
      <c r="D65" s="79">
        <f t="shared" si="2"/>
        <v>0.38461538461538464</v>
      </c>
      <c r="E65" s="97" t="e">
        <f t="shared" si="3"/>
        <v>#VALUE!</v>
      </c>
      <c r="F65" s="80" t="e">
        <f t="shared" si="4"/>
        <v>#VALUE!</v>
      </c>
      <c r="G65" s="80" t="e">
        <f t="shared" si="13"/>
        <v>#VALUE!</v>
      </c>
      <c r="H65" s="81" t="e">
        <f t="shared" si="22"/>
        <v>#VALUE!</v>
      </c>
      <c r="J65" s="150"/>
    </row>
    <row r="66" spans="1:10" x14ac:dyDescent="0.3">
      <c r="A66" s="99">
        <v>61</v>
      </c>
      <c r="B66" s="103">
        <v>121</v>
      </c>
      <c r="C66" s="78">
        <f t="shared" si="21"/>
        <v>79</v>
      </c>
      <c r="D66" s="79">
        <f t="shared" si="2"/>
        <v>0.38759689922480622</v>
      </c>
      <c r="E66" s="97" t="e">
        <f t="shared" si="3"/>
        <v>#VALUE!</v>
      </c>
      <c r="F66" s="80" t="e">
        <f t="shared" si="4"/>
        <v>#VALUE!</v>
      </c>
      <c r="G66" s="80" t="e">
        <f t="shared" si="13"/>
        <v>#VALUE!</v>
      </c>
      <c r="H66" s="81" t="e">
        <f t="shared" si="22"/>
        <v>#VALUE!</v>
      </c>
      <c r="J66" s="150"/>
    </row>
    <row r="67" spans="1:10" x14ac:dyDescent="0.3">
      <c r="A67" s="99">
        <v>62</v>
      </c>
      <c r="B67" s="103">
        <v>122</v>
      </c>
      <c r="C67" s="78">
        <f t="shared" si="21"/>
        <v>78</v>
      </c>
      <c r="D67" s="79">
        <f t="shared" si="2"/>
        <v>0.390625</v>
      </c>
      <c r="E67" s="97" t="e">
        <f t="shared" si="3"/>
        <v>#VALUE!</v>
      </c>
      <c r="F67" s="80" t="e">
        <f t="shared" si="4"/>
        <v>#VALUE!</v>
      </c>
      <c r="G67" s="80" t="e">
        <f t="shared" si="13"/>
        <v>#VALUE!</v>
      </c>
      <c r="H67" s="81" t="e">
        <f t="shared" si="22"/>
        <v>#VALUE!</v>
      </c>
      <c r="J67" s="150"/>
    </row>
    <row r="68" spans="1:10" x14ac:dyDescent="0.3">
      <c r="A68" s="99">
        <v>63</v>
      </c>
      <c r="B68" s="103">
        <v>123</v>
      </c>
      <c r="C68" s="78">
        <f t="shared" si="21"/>
        <v>77</v>
      </c>
      <c r="D68" s="79">
        <f t="shared" si="2"/>
        <v>0.39370078740157483</v>
      </c>
      <c r="E68" s="97" t="e">
        <f t="shared" si="3"/>
        <v>#VALUE!</v>
      </c>
      <c r="F68" s="80" t="e">
        <f t="shared" si="4"/>
        <v>#VALUE!</v>
      </c>
      <c r="G68" s="80" t="e">
        <f t="shared" si="13"/>
        <v>#VALUE!</v>
      </c>
      <c r="H68" s="81" t="e">
        <f t="shared" si="22"/>
        <v>#VALUE!</v>
      </c>
      <c r="J68" s="150"/>
    </row>
    <row r="69" spans="1:10" x14ac:dyDescent="0.3">
      <c r="A69" s="99">
        <v>64</v>
      </c>
      <c r="B69" s="103">
        <v>124</v>
      </c>
      <c r="C69" s="78">
        <f t="shared" si="21"/>
        <v>76</v>
      </c>
      <c r="D69" s="79">
        <f t="shared" si="2"/>
        <v>0.3968253968253968</v>
      </c>
      <c r="E69" s="97" t="e">
        <f t="shared" si="3"/>
        <v>#VALUE!</v>
      </c>
      <c r="F69" s="80" t="e">
        <f t="shared" si="4"/>
        <v>#VALUE!</v>
      </c>
      <c r="G69" s="80" t="e">
        <f t="shared" si="13"/>
        <v>#VALUE!</v>
      </c>
      <c r="H69" s="81" t="e">
        <f t="shared" si="22"/>
        <v>#VALUE!</v>
      </c>
      <c r="J69" s="150"/>
    </row>
    <row r="70" spans="1:10" x14ac:dyDescent="0.3">
      <c r="A70" s="99">
        <v>65</v>
      </c>
      <c r="B70" s="103">
        <v>125</v>
      </c>
      <c r="C70" s="78">
        <f t="shared" si="21"/>
        <v>75</v>
      </c>
      <c r="D70" s="79">
        <f t="shared" si="2"/>
        <v>0.4</v>
      </c>
      <c r="E70" s="97" t="e">
        <f t="shared" si="3"/>
        <v>#VALUE!</v>
      </c>
      <c r="F70" s="80" t="e">
        <f t="shared" si="4"/>
        <v>#VALUE!</v>
      </c>
      <c r="G70" s="80" t="e">
        <f t="shared" si="13"/>
        <v>#VALUE!</v>
      </c>
      <c r="H70" s="81" t="e">
        <f t="shared" si="22"/>
        <v>#VALUE!</v>
      </c>
      <c r="J70" s="150"/>
    </row>
    <row r="71" spans="1:10" x14ac:dyDescent="0.3">
      <c r="A71" s="99">
        <v>66</v>
      </c>
      <c r="B71" s="103">
        <v>126</v>
      </c>
      <c r="C71" s="78">
        <f t="shared" si="21"/>
        <v>74</v>
      </c>
      <c r="D71" s="79">
        <f t="shared" ref="D71:D94" si="23">($N$4) / ($N$4+C71)</f>
        <v>0.40322580645161288</v>
      </c>
      <c r="E71" s="97" t="e">
        <f t="shared" ref="E71:E94" si="24">OptimalOrderQuantity(D71)</f>
        <v>#VALUE!</v>
      </c>
      <c r="F71" s="80" t="e">
        <f t="shared" ref="F71:F94" si="25">SkiRetailProf(E71,B71)</f>
        <v>#VALUE!</v>
      </c>
      <c r="G71" s="80" t="e">
        <f t="shared" si="13"/>
        <v>#VALUE!</v>
      </c>
      <c r="H71" s="81" t="e">
        <f t="shared" si="22"/>
        <v>#VALUE!</v>
      </c>
      <c r="J71" s="150"/>
    </row>
    <row r="72" spans="1:10" x14ac:dyDescent="0.3">
      <c r="A72" s="99">
        <v>67</v>
      </c>
      <c r="B72" s="103">
        <v>127</v>
      </c>
      <c r="C72" s="78">
        <f t="shared" si="21"/>
        <v>73</v>
      </c>
      <c r="D72" s="79">
        <f t="shared" si="23"/>
        <v>0.4065040650406504</v>
      </c>
      <c r="E72" s="97" t="e">
        <f t="shared" si="24"/>
        <v>#VALUE!</v>
      </c>
      <c r="F72" s="80" t="e">
        <f t="shared" si="25"/>
        <v>#VALUE!</v>
      </c>
      <c r="G72" s="80" t="e">
        <f t="shared" si="13"/>
        <v>#VALUE!</v>
      </c>
      <c r="H72" s="81" t="e">
        <f t="shared" si="22"/>
        <v>#VALUE!</v>
      </c>
      <c r="J72" s="150"/>
    </row>
    <row r="73" spans="1:10" x14ac:dyDescent="0.3">
      <c r="A73" s="99">
        <v>68</v>
      </c>
      <c r="B73" s="103">
        <v>128</v>
      </c>
      <c r="C73" s="78">
        <f t="shared" si="21"/>
        <v>72</v>
      </c>
      <c r="D73" s="79">
        <f t="shared" si="23"/>
        <v>0.4098360655737705</v>
      </c>
      <c r="E73" s="97" t="e">
        <f t="shared" si="24"/>
        <v>#VALUE!</v>
      </c>
      <c r="F73" s="80" t="e">
        <f t="shared" si="25"/>
        <v>#VALUE!</v>
      </c>
      <c r="G73" s="80" t="e">
        <f t="shared" si="13"/>
        <v>#VALUE!</v>
      </c>
      <c r="H73" s="81" t="e">
        <f t="shared" si="22"/>
        <v>#VALUE!</v>
      </c>
      <c r="J73" s="150"/>
    </row>
    <row r="74" spans="1:10" x14ac:dyDescent="0.3">
      <c r="A74" s="99">
        <v>69</v>
      </c>
      <c r="B74" s="103">
        <v>129</v>
      </c>
      <c r="C74" s="78">
        <f t="shared" si="21"/>
        <v>71</v>
      </c>
      <c r="D74" s="79">
        <f t="shared" si="23"/>
        <v>0.41322314049586778</v>
      </c>
      <c r="E74" s="97" t="e">
        <f t="shared" si="24"/>
        <v>#VALUE!</v>
      </c>
      <c r="F74" s="80" t="e">
        <f t="shared" si="25"/>
        <v>#VALUE!</v>
      </c>
      <c r="G74" s="80" t="e">
        <f t="shared" si="13"/>
        <v>#VALUE!</v>
      </c>
      <c r="H74" s="81" t="e">
        <f t="shared" si="22"/>
        <v>#VALUE!</v>
      </c>
      <c r="J74" s="150"/>
    </row>
    <row r="75" spans="1:10" x14ac:dyDescent="0.3">
      <c r="A75" s="99">
        <v>70</v>
      </c>
      <c r="B75" s="103">
        <v>130</v>
      </c>
      <c r="C75" s="78">
        <f t="shared" si="21"/>
        <v>70</v>
      </c>
      <c r="D75" s="79">
        <f t="shared" si="23"/>
        <v>0.41666666666666669</v>
      </c>
      <c r="E75" s="97" t="e">
        <f t="shared" si="24"/>
        <v>#VALUE!</v>
      </c>
      <c r="F75" s="80" t="e">
        <f t="shared" si="25"/>
        <v>#VALUE!</v>
      </c>
      <c r="G75" s="80" t="e">
        <f t="shared" si="13"/>
        <v>#VALUE!</v>
      </c>
      <c r="H75" s="81" t="e">
        <f t="shared" si="22"/>
        <v>#VALUE!</v>
      </c>
      <c r="J75" s="150"/>
    </row>
    <row r="76" spans="1:10" x14ac:dyDescent="0.3">
      <c r="A76" s="99">
        <v>71</v>
      </c>
      <c r="B76" s="103">
        <v>131</v>
      </c>
      <c r="C76" s="78">
        <f t="shared" si="21"/>
        <v>69</v>
      </c>
      <c r="D76" s="79">
        <f t="shared" si="23"/>
        <v>0.42016806722689076</v>
      </c>
      <c r="E76" s="97" t="e">
        <f t="shared" si="24"/>
        <v>#VALUE!</v>
      </c>
      <c r="F76" s="80" t="e">
        <f t="shared" si="25"/>
        <v>#VALUE!</v>
      </c>
      <c r="G76" s="80" t="e">
        <f t="shared" si="13"/>
        <v>#VALUE!</v>
      </c>
      <c r="H76" s="81" t="e">
        <f t="shared" si="22"/>
        <v>#VALUE!</v>
      </c>
      <c r="J76" s="150"/>
    </row>
    <row r="77" spans="1:10" ht="17.25" thickBot="1" x14ac:dyDescent="0.35">
      <c r="A77" s="100">
        <v>72</v>
      </c>
      <c r="B77" s="104">
        <v>132</v>
      </c>
      <c r="C77" s="82">
        <f t="shared" si="21"/>
        <v>68</v>
      </c>
      <c r="D77" s="83">
        <f t="shared" si="23"/>
        <v>0.42372881355932202</v>
      </c>
      <c r="E77" s="105" t="e">
        <f t="shared" si="24"/>
        <v>#VALUE!</v>
      </c>
      <c r="F77" s="84" t="e">
        <f t="shared" si="25"/>
        <v>#VALUE!</v>
      </c>
      <c r="G77" s="84" t="e">
        <f t="shared" si="13"/>
        <v>#VALUE!</v>
      </c>
      <c r="H77" s="85" t="e">
        <f t="shared" si="22"/>
        <v>#VALUE!</v>
      </c>
      <c r="J77" s="151"/>
    </row>
    <row r="78" spans="1:10" x14ac:dyDescent="0.3">
      <c r="A78" s="90">
        <v>73</v>
      </c>
      <c r="B78" s="91">
        <v>133</v>
      </c>
      <c r="C78" s="92">
        <f t="shared" si="21"/>
        <v>67</v>
      </c>
      <c r="D78" s="93">
        <f t="shared" si="23"/>
        <v>0.42735042735042733</v>
      </c>
      <c r="E78" s="90" t="e">
        <f t="shared" si="24"/>
        <v>#VALUE!</v>
      </c>
      <c r="F78" s="71" t="e">
        <f t="shared" si="25"/>
        <v>#VALUE!</v>
      </c>
      <c r="G78" s="71" t="e">
        <f t="shared" si="13"/>
        <v>#VALUE!</v>
      </c>
      <c r="H78" s="73" t="e">
        <f t="shared" si="22"/>
        <v>#VALUE!</v>
      </c>
    </row>
    <row r="79" spans="1:10" x14ac:dyDescent="0.3">
      <c r="A79" s="64">
        <v>74</v>
      </c>
      <c r="B79" s="61">
        <v>134</v>
      </c>
      <c r="C79" s="62">
        <f t="shared" si="21"/>
        <v>66</v>
      </c>
      <c r="D79" s="63">
        <f t="shared" si="23"/>
        <v>0.43103448275862066</v>
      </c>
      <c r="E79" s="64" t="e">
        <f t="shared" si="24"/>
        <v>#VALUE!</v>
      </c>
      <c r="F79" s="54" t="e">
        <f t="shared" si="25"/>
        <v>#VALUE!</v>
      </c>
      <c r="G79" s="54" t="e">
        <f t="shared" si="13"/>
        <v>#VALUE!</v>
      </c>
      <c r="H79" s="55" t="e">
        <f t="shared" si="22"/>
        <v>#VALUE!</v>
      </c>
    </row>
    <row r="80" spans="1:10" x14ac:dyDescent="0.3">
      <c r="A80" s="64">
        <v>75</v>
      </c>
      <c r="B80" s="61">
        <v>135</v>
      </c>
      <c r="C80" s="62">
        <f t="shared" si="21"/>
        <v>65</v>
      </c>
      <c r="D80" s="63">
        <f t="shared" si="23"/>
        <v>0.43478260869565216</v>
      </c>
      <c r="E80" s="64" t="e">
        <f t="shared" si="24"/>
        <v>#VALUE!</v>
      </c>
      <c r="F80" s="54" t="e">
        <f t="shared" si="25"/>
        <v>#VALUE!</v>
      </c>
      <c r="G80" s="54" t="e">
        <f t="shared" si="13"/>
        <v>#VALUE!</v>
      </c>
      <c r="H80" s="55" t="e">
        <f t="shared" si="22"/>
        <v>#VALUE!</v>
      </c>
    </row>
    <row r="81" spans="1:8" x14ac:dyDescent="0.3">
      <c r="A81" s="64">
        <v>76</v>
      </c>
      <c r="B81" s="61">
        <v>136</v>
      </c>
      <c r="C81" s="62">
        <f t="shared" si="21"/>
        <v>64</v>
      </c>
      <c r="D81" s="63">
        <f t="shared" si="23"/>
        <v>0.43859649122807015</v>
      </c>
      <c r="E81" s="64" t="e">
        <f t="shared" si="24"/>
        <v>#VALUE!</v>
      </c>
      <c r="F81" s="54" t="e">
        <f t="shared" si="25"/>
        <v>#VALUE!</v>
      </c>
      <c r="G81" s="54" t="e">
        <f t="shared" si="13"/>
        <v>#VALUE!</v>
      </c>
      <c r="H81" s="55" t="e">
        <f t="shared" si="22"/>
        <v>#VALUE!</v>
      </c>
    </row>
    <row r="82" spans="1:8" x14ac:dyDescent="0.3">
      <c r="A82" s="64">
        <v>77</v>
      </c>
      <c r="B82" s="61">
        <v>137</v>
      </c>
      <c r="C82" s="62">
        <f t="shared" si="21"/>
        <v>63</v>
      </c>
      <c r="D82" s="63">
        <f t="shared" si="23"/>
        <v>0.44247787610619471</v>
      </c>
      <c r="E82" s="64" t="e">
        <f t="shared" si="24"/>
        <v>#VALUE!</v>
      </c>
      <c r="F82" s="54" t="e">
        <f t="shared" si="25"/>
        <v>#VALUE!</v>
      </c>
      <c r="G82" s="54" t="e">
        <f t="shared" si="13"/>
        <v>#VALUE!</v>
      </c>
      <c r="H82" s="55" t="e">
        <f t="shared" si="22"/>
        <v>#VALUE!</v>
      </c>
    </row>
    <row r="83" spans="1:8" x14ac:dyDescent="0.3">
      <c r="A83" s="64">
        <v>78</v>
      </c>
      <c r="B83" s="61">
        <v>138</v>
      </c>
      <c r="C83" s="62">
        <f t="shared" si="21"/>
        <v>62</v>
      </c>
      <c r="D83" s="63">
        <f t="shared" si="23"/>
        <v>0.44642857142857145</v>
      </c>
      <c r="E83" s="64" t="e">
        <f t="shared" si="24"/>
        <v>#VALUE!</v>
      </c>
      <c r="F83" s="54" t="e">
        <f t="shared" si="25"/>
        <v>#VALUE!</v>
      </c>
      <c r="G83" s="54" t="e">
        <f t="shared" si="13"/>
        <v>#VALUE!</v>
      </c>
      <c r="H83" s="55" t="e">
        <f t="shared" si="22"/>
        <v>#VALUE!</v>
      </c>
    </row>
    <row r="84" spans="1:8" x14ac:dyDescent="0.3">
      <c r="A84" s="64">
        <v>79</v>
      </c>
      <c r="B84" s="61">
        <v>139</v>
      </c>
      <c r="C84" s="62">
        <f t="shared" si="21"/>
        <v>61</v>
      </c>
      <c r="D84" s="63">
        <f t="shared" si="23"/>
        <v>0.45045045045045046</v>
      </c>
      <c r="E84" s="64" t="e">
        <f t="shared" si="24"/>
        <v>#VALUE!</v>
      </c>
      <c r="F84" s="54" t="e">
        <f t="shared" si="25"/>
        <v>#VALUE!</v>
      </c>
      <c r="G84" s="54" t="e">
        <f t="shared" si="13"/>
        <v>#VALUE!</v>
      </c>
      <c r="H84" s="55" t="e">
        <f t="shared" si="22"/>
        <v>#VALUE!</v>
      </c>
    </row>
    <row r="85" spans="1:8" x14ac:dyDescent="0.3">
      <c r="A85" s="64">
        <v>80</v>
      </c>
      <c r="B85" s="61">
        <v>140</v>
      </c>
      <c r="C85" s="62">
        <f t="shared" si="21"/>
        <v>60</v>
      </c>
      <c r="D85" s="63">
        <f t="shared" si="23"/>
        <v>0.45454545454545453</v>
      </c>
      <c r="E85" s="64" t="e">
        <f t="shared" si="24"/>
        <v>#VALUE!</v>
      </c>
      <c r="F85" s="54" t="e">
        <f t="shared" si="25"/>
        <v>#VALUE!</v>
      </c>
      <c r="G85" s="54" t="e">
        <f t="shared" si="13"/>
        <v>#VALUE!</v>
      </c>
      <c r="H85" s="55" t="e">
        <f t="shared" si="22"/>
        <v>#VALUE!</v>
      </c>
    </row>
    <row r="86" spans="1:8" x14ac:dyDescent="0.3">
      <c r="A86" s="64">
        <v>81</v>
      </c>
      <c r="B86" s="61">
        <v>141</v>
      </c>
      <c r="C86" s="62">
        <f t="shared" si="21"/>
        <v>59</v>
      </c>
      <c r="D86" s="63">
        <f t="shared" si="23"/>
        <v>0.45871559633027525</v>
      </c>
      <c r="E86" s="64" t="e">
        <f t="shared" si="24"/>
        <v>#VALUE!</v>
      </c>
      <c r="F86" s="54" t="e">
        <f t="shared" si="25"/>
        <v>#VALUE!</v>
      </c>
      <c r="G86" s="54" t="e">
        <f t="shared" ref="G86:G94" si="26">SkiEkz(E86,B86)</f>
        <v>#VALUE!</v>
      </c>
      <c r="H86" s="55" t="e">
        <f t="shared" si="22"/>
        <v>#VALUE!</v>
      </c>
    </row>
    <row r="87" spans="1:8" x14ac:dyDescent="0.3">
      <c r="A87" s="64">
        <v>82</v>
      </c>
      <c r="B87" s="61">
        <v>142</v>
      </c>
      <c r="C87" s="62">
        <f t="shared" si="21"/>
        <v>58</v>
      </c>
      <c r="D87" s="63">
        <f t="shared" si="23"/>
        <v>0.46296296296296297</v>
      </c>
      <c r="E87" s="64" t="e">
        <f t="shared" si="24"/>
        <v>#VALUE!</v>
      </c>
      <c r="F87" s="54" t="e">
        <f t="shared" si="25"/>
        <v>#VALUE!</v>
      </c>
      <c r="G87" s="54" t="e">
        <f t="shared" si="26"/>
        <v>#VALUE!</v>
      </c>
      <c r="H87" s="55" t="e">
        <f t="shared" si="22"/>
        <v>#VALUE!</v>
      </c>
    </row>
    <row r="88" spans="1:8" x14ac:dyDescent="0.3">
      <c r="A88" s="64">
        <v>83</v>
      </c>
      <c r="B88" s="61">
        <v>143</v>
      </c>
      <c r="C88" s="62">
        <f t="shared" si="21"/>
        <v>57</v>
      </c>
      <c r="D88" s="63">
        <f t="shared" si="23"/>
        <v>0.46728971962616822</v>
      </c>
      <c r="E88" s="64" t="e">
        <f t="shared" si="24"/>
        <v>#VALUE!</v>
      </c>
      <c r="F88" s="54" t="e">
        <f t="shared" si="25"/>
        <v>#VALUE!</v>
      </c>
      <c r="G88" s="54" t="e">
        <f t="shared" si="26"/>
        <v>#VALUE!</v>
      </c>
      <c r="H88" s="55" t="e">
        <f t="shared" si="22"/>
        <v>#VALUE!</v>
      </c>
    </row>
    <row r="89" spans="1:8" x14ac:dyDescent="0.3">
      <c r="A89" s="64">
        <v>84</v>
      </c>
      <c r="B89" s="61">
        <v>144</v>
      </c>
      <c r="C89" s="62">
        <f t="shared" si="21"/>
        <v>56</v>
      </c>
      <c r="D89" s="63">
        <f t="shared" si="23"/>
        <v>0.47169811320754718</v>
      </c>
      <c r="E89" s="64" t="e">
        <f t="shared" si="24"/>
        <v>#VALUE!</v>
      </c>
      <c r="F89" s="54" t="e">
        <f t="shared" si="25"/>
        <v>#VALUE!</v>
      </c>
      <c r="G89" s="54" t="e">
        <f t="shared" si="26"/>
        <v>#VALUE!</v>
      </c>
      <c r="H89" s="55" t="e">
        <f t="shared" si="22"/>
        <v>#VALUE!</v>
      </c>
    </row>
    <row r="90" spans="1:8" x14ac:dyDescent="0.3">
      <c r="A90" s="64">
        <v>85</v>
      </c>
      <c r="B90" s="61">
        <v>145</v>
      </c>
      <c r="C90" s="62">
        <f t="shared" si="21"/>
        <v>55</v>
      </c>
      <c r="D90" s="63">
        <f t="shared" si="23"/>
        <v>0.47619047619047616</v>
      </c>
      <c r="E90" s="64" t="e">
        <f t="shared" si="24"/>
        <v>#VALUE!</v>
      </c>
      <c r="F90" s="54" t="e">
        <f t="shared" si="25"/>
        <v>#VALUE!</v>
      </c>
      <c r="G90" s="54" t="e">
        <f t="shared" si="26"/>
        <v>#VALUE!</v>
      </c>
      <c r="H90" s="55" t="e">
        <f t="shared" si="22"/>
        <v>#VALUE!</v>
      </c>
    </row>
    <row r="91" spans="1:8" x14ac:dyDescent="0.3">
      <c r="A91" s="64">
        <v>86</v>
      </c>
      <c r="B91" s="61">
        <v>146</v>
      </c>
      <c r="C91" s="62">
        <f t="shared" si="21"/>
        <v>54</v>
      </c>
      <c r="D91" s="63">
        <f t="shared" si="23"/>
        <v>0.48076923076923078</v>
      </c>
      <c r="E91" s="64" t="e">
        <f t="shared" si="24"/>
        <v>#VALUE!</v>
      </c>
      <c r="F91" s="54" t="e">
        <f t="shared" si="25"/>
        <v>#VALUE!</v>
      </c>
      <c r="G91" s="54" t="e">
        <f t="shared" si="26"/>
        <v>#VALUE!</v>
      </c>
      <c r="H91" s="55" t="e">
        <f t="shared" si="22"/>
        <v>#VALUE!</v>
      </c>
    </row>
    <row r="92" spans="1:8" x14ac:dyDescent="0.3">
      <c r="A92" s="64">
        <v>87</v>
      </c>
      <c r="B92" s="61">
        <v>147</v>
      </c>
      <c r="C92" s="62">
        <f t="shared" si="21"/>
        <v>53</v>
      </c>
      <c r="D92" s="63">
        <f t="shared" si="23"/>
        <v>0.4854368932038835</v>
      </c>
      <c r="E92" s="64" t="e">
        <f t="shared" si="24"/>
        <v>#VALUE!</v>
      </c>
      <c r="F92" s="54" t="e">
        <f t="shared" si="25"/>
        <v>#VALUE!</v>
      </c>
      <c r="G92" s="54" t="e">
        <f t="shared" si="26"/>
        <v>#VALUE!</v>
      </c>
      <c r="H92" s="55" t="e">
        <f t="shared" si="22"/>
        <v>#VALUE!</v>
      </c>
    </row>
    <row r="93" spans="1:8" x14ac:dyDescent="0.3">
      <c r="A93" s="64">
        <v>88</v>
      </c>
      <c r="B93" s="61">
        <v>148</v>
      </c>
      <c r="C93" s="62">
        <f t="shared" si="21"/>
        <v>52</v>
      </c>
      <c r="D93" s="63">
        <f t="shared" si="23"/>
        <v>0.49019607843137253</v>
      </c>
      <c r="E93" s="64" t="e">
        <f t="shared" si="24"/>
        <v>#VALUE!</v>
      </c>
      <c r="F93" s="54" t="e">
        <f t="shared" si="25"/>
        <v>#VALUE!</v>
      </c>
      <c r="G93" s="54" t="e">
        <f t="shared" si="26"/>
        <v>#VALUE!</v>
      </c>
      <c r="H93" s="55" t="e">
        <f t="shared" si="22"/>
        <v>#VALUE!</v>
      </c>
    </row>
    <row r="94" spans="1:8" x14ac:dyDescent="0.3">
      <c r="A94" s="64">
        <v>89</v>
      </c>
      <c r="B94" s="61">
        <v>149</v>
      </c>
      <c r="C94" s="62">
        <f t="shared" si="21"/>
        <v>51</v>
      </c>
      <c r="D94" s="63">
        <f t="shared" si="23"/>
        <v>0.49504950495049505</v>
      </c>
      <c r="E94" s="64" t="e">
        <f t="shared" si="24"/>
        <v>#VALUE!</v>
      </c>
      <c r="F94" s="54" t="e">
        <f t="shared" si="25"/>
        <v>#VALUE!</v>
      </c>
      <c r="G94" s="54" t="e">
        <f t="shared" si="26"/>
        <v>#VALUE!</v>
      </c>
      <c r="H94" s="55" t="e">
        <f t="shared" si="22"/>
        <v>#VALUE!</v>
      </c>
    </row>
  </sheetData>
  <sheetProtection sheet="1" objects="1" scenarios="1"/>
  <mergeCells count="4">
    <mergeCell ref="M27:T27"/>
    <mergeCell ref="M47:T47"/>
    <mergeCell ref="U47:V47"/>
    <mergeCell ref="J62:J77"/>
  </mergeCell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Products of Skiekz</vt:lpstr>
      <vt:lpstr>Data From Case</vt:lpstr>
      <vt:lpstr>Observed Demand</vt:lpstr>
      <vt:lpstr>Optimal Quantity</vt:lpstr>
      <vt:lpstr>Uncoordinated  SC Profits</vt:lpstr>
      <vt:lpstr>Global Optimization</vt:lpstr>
      <vt:lpstr>Revenue Share</vt:lpstr>
      <vt:lpstr>Global Optimization (2)</vt:lpstr>
      <vt:lpstr>Buy Back Contract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2013-09-27T20:02:06Z</dcterms:modified>
</cp:coreProperties>
</file>